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son\AppData\Local\Temp\claude\C--Users-mason-Downloads-Masonjbennett-com-Website\f8804447-b151-4bab-94d7-7ff7e8a5176a\scratchpad\deals\"/>
    </mc:Choice>
  </mc:AlternateContent>
  <xr:revisionPtr revIDLastSave="0" documentId="13_ncr:1_{AD5CDECF-42CF-41FA-B366-8799569DE195}" xr6:coauthVersionLast="47" xr6:coauthVersionMax="47" xr10:uidLastSave="{00000000-0000-0000-0000-000000000000}"/>
  <bookViews>
    <workbookView xWindow="6096" yWindow="2100" windowWidth="11076" windowHeight="8880" tabRatio="500" xr2:uid="{00000000-000D-0000-FFFF-FFFF00000000}"/>
  </bookViews>
  <sheets>
    <sheet name="READ ME" sheetId="13" r:id="rId1"/>
    <sheet name="Deal Summary" sheetId="1" r:id="rId2"/>
    <sheet name="EV Bridge" sheetId="2" r:id="rId3"/>
    <sheet name="EA Historicals" sheetId="3" r:id="rId4"/>
    <sheet name="DCF (Goldman Sachs)" sheetId="4" r:id="rId5"/>
    <sheet name="Future Share Price" sheetId="5" r:id="rId6"/>
    <sheet name="CCA" sheetId="6" r:id="rId7"/>
    <sheet name="PTA" sheetId="7" r:id="rId8"/>
    <sheet name="Premia Paid" sheetId="8" r:id="rId9"/>
    <sheet name="LBO Model" sheetId="9" r:id="rId10"/>
    <sheet name="Football Field" sheetId="10" r:id="rId11"/>
    <sheet name="Chart Data" sheetId="11" r:id="rId12"/>
    <sheet name="Sources" sheetId="12"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6" i="9" l="1"/>
  <c r="C135" i="9"/>
  <c r="C134" i="9"/>
  <c r="D132" i="9"/>
  <c r="C132" i="9"/>
  <c r="D129" i="9" s="1"/>
  <c r="C131" i="9"/>
  <c r="D130" i="9"/>
  <c r="C130" i="9"/>
  <c r="C129" i="9"/>
  <c r="C126" i="9"/>
  <c r="C125" i="9"/>
  <c r="C123" i="9"/>
  <c r="C121" i="9"/>
  <c r="C71" i="4"/>
  <c r="B71" i="4"/>
  <c r="C69" i="4"/>
  <c r="B69" i="4"/>
  <c r="C67" i="4"/>
  <c r="B67" i="4"/>
  <c r="C62" i="4"/>
  <c r="B62" i="4"/>
  <c r="F112" i="9"/>
  <c r="E112" i="9"/>
  <c r="D112" i="9"/>
  <c r="C112" i="9"/>
  <c r="B112" i="9"/>
  <c r="F111" i="9"/>
  <c r="E111" i="9"/>
  <c r="D111" i="9"/>
  <c r="C111" i="9"/>
  <c r="B111" i="9"/>
  <c r="F110" i="9"/>
  <c r="E110" i="9"/>
  <c r="D110" i="9"/>
  <c r="C110" i="9"/>
  <c r="B110" i="9"/>
  <c r="F109" i="9"/>
  <c r="E109" i="9"/>
  <c r="D109" i="9"/>
  <c r="C109" i="9"/>
  <c r="B109" i="9"/>
  <c r="F108" i="9"/>
  <c r="E108" i="9"/>
  <c r="D108" i="9"/>
  <c r="C108" i="9"/>
  <c r="B108" i="9"/>
  <c r="E15" i="11"/>
  <c r="D15" i="11"/>
  <c r="C15" i="11"/>
  <c r="B15" i="11"/>
  <c r="E9" i="11"/>
  <c r="D9" i="11"/>
  <c r="E8" i="11"/>
  <c r="D8" i="11"/>
  <c r="E7" i="11"/>
  <c r="D7" i="11"/>
  <c r="E6" i="11"/>
  <c r="D6" i="11"/>
  <c r="E5" i="11"/>
  <c r="D5" i="11"/>
  <c r="E86" i="9"/>
  <c r="D86" i="9"/>
  <c r="C86" i="9"/>
  <c r="B86" i="9"/>
  <c r="B80" i="9"/>
  <c r="F86" i="9" s="1"/>
  <c r="B79" i="9"/>
  <c r="B72" i="9"/>
  <c r="B61" i="9"/>
  <c r="F44" i="9"/>
  <c r="E44" i="9"/>
  <c r="D44" i="9"/>
  <c r="C44" i="9"/>
  <c r="B44" i="9"/>
  <c r="C36" i="9"/>
  <c r="C32" i="9"/>
  <c r="C28" i="9" s="1"/>
  <c r="C29" i="9" s="1"/>
  <c r="G20" i="9"/>
  <c r="F20" i="9"/>
  <c r="E20" i="9"/>
  <c r="D20" i="9"/>
  <c r="C20" i="9"/>
  <c r="B20" i="9"/>
  <c r="B13" i="9"/>
  <c r="F12" i="9"/>
  <c r="G8" i="9" s="1"/>
  <c r="B12" i="9"/>
  <c r="C9" i="9" s="1"/>
  <c r="G11" i="9"/>
  <c r="G10" i="9"/>
  <c r="C10" i="9"/>
  <c r="G7" i="9"/>
  <c r="C7" i="9"/>
  <c r="G6" i="9"/>
  <c r="F6" i="9"/>
  <c r="C6" i="9"/>
  <c r="B6" i="9"/>
  <c r="B8" i="9" s="1"/>
  <c r="C8" i="9" s="1"/>
  <c r="D46" i="8"/>
  <c r="C46" i="8"/>
  <c r="B46" i="8"/>
  <c r="D29" i="8"/>
  <c r="C29" i="8"/>
  <c r="B29" i="8"/>
  <c r="E40" i="7"/>
  <c r="E41" i="7" s="1"/>
  <c r="D40" i="7"/>
  <c r="D41" i="7" s="1"/>
  <c r="B45" i="7" s="1"/>
  <c r="C15" i="10" s="1"/>
  <c r="C11" i="11" s="1"/>
  <c r="E39" i="7"/>
  <c r="D39" i="7"/>
  <c r="C39" i="7"/>
  <c r="B39" i="7"/>
  <c r="E38" i="7"/>
  <c r="D38" i="7"/>
  <c r="C38" i="7"/>
  <c r="C40" i="7" s="1"/>
  <c r="C41" i="7" s="1"/>
  <c r="B38" i="7"/>
  <c r="B40" i="7" s="1"/>
  <c r="B41" i="7" s="1"/>
  <c r="B44" i="7" s="1"/>
  <c r="E29" i="7"/>
  <c r="D29" i="7"/>
  <c r="C29" i="7"/>
  <c r="B29" i="7"/>
  <c r="E28" i="7"/>
  <c r="E30" i="7" s="1"/>
  <c r="E31" i="7" s="1"/>
  <c r="H19" i="7"/>
  <c r="C27" i="7" s="1"/>
  <c r="C28" i="7" s="1"/>
  <c r="C30" i="7" s="1"/>
  <c r="C31" i="7" s="1"/>
  <c r="I17" i="7"/>
  <c r="G17" i="7"/>
  <c r="I16" i="7"/>
  <c r="H14" i="7"/>
  <c r="G14" i="7"/>
  <c r="H13" i="7"/>
  <c r="G13" i="7"/>
  <c r="H12" i="7"/>
  <c r="G12" i="7"/>
  <c r="H11" i="7"/>
  <c r="G11" i="7"/>
  <c r="H10" i="7"/>
  <c r="G10" i="7"/>
  <c r="H9" i="7"/>
  <c r="G9" i="7"/>
  <c r="H8" i="7"/>
  <c r="G8" i="7"/>
  <c r="H7" i="7"/>
  <c r="H17" i="7" s="1"/>
  <c r="B27" i="7" s="1"/>
  <c r="B28" i="7" s="1"/>
  <c r="B30" i="7" s="1"/>
  <c r="B31" i="7" s="1"/>
  <c r="G7" i="7"/>
  <c r="G18" i="7" s="1"/>
  <c r="I6" i="7"/>
  <c r="H6" i="7"/>
  <c r="G6" i="7"/>
  <c r="D64" i="6"/>
  <c r="D65" i="6" s="1"/>
  <c r="C64" i="6"/>
  <c r="C65" i="6" s="1"/>
  <c r="E63" i="6"/>
  <c r="D63" i="6"/>
  <c r="C63" i="6"/>
  <c r="B63" i="6"/>
  <c r="E62" i="6"/>
  <c r="E64" i="6" s="1"/>
  <c r="E65" i="6" s="1"/>
  <c r="B70" i="6" s="1"/>
  <c r="C14" i="10" s="1"/>
  <c r="C10" i="11" s="1"/>
  <c r="D62" i="6"/>
  <c r="C62" i="6"/>
  <c r="B62" i="6"/>
  <c r="B64" i="6" s="1"/>
  <c r="B65" i="6" s="1"/>
  <c r="B69" i="6" s="1"/>
  <c r="E43" i="6"/>
  <c r="D43" i="6"/>
  <c r="C43" i="6"/>
  <c r="B43" i="6"/>
  <c r="D42" i="6"/>
  <c r="D44" i="6" s="1"/>
  <c r="D45" i="6" s="1"/>
  <c r="C42" i="6"/>
  <c r="C44" i="6" s="1"/>
  <c r="C45" i="6" s="1"/>
  <c r="C41" i="6"/>
  <c r="B41" i="6"/>
  <c r="B42" i="6" s="1"/>
  <c r="B44" i="6" s="1"/>
  <c r="B45" i="6" s="1"/>
  <c r="D33" i="6"/>
  <c r="C33" i="6"/>
  <c r="B33" i="6"/>
  <c r="D30" i="6"/>
  <c r="C30" i="6"/>
  <c r="B30" i="6"/>
  <c r="F29" i="6"/>
  <c r="E29" i="6"/>
  <c r="D29" i="6"/>
  <c r="C29" i="6"/>
  <c r="D41" i="6" s="1"/>
  <c r="B29" i="6"/>
  <c r="F28" i="6"/>
  <c r="E28" i="6"/>
  <c r="D28" i="6"/>
  <c r="C28" i="6"/>
  <c r="B28" i="6"/>
  <c r="F27" i="6"/>
  <c r="E27" i="6"/>
  <c r="D27" i="6"/>
  <c r="C27" i="6"/>
  <c r="B27" i="6"/>
  <c r="F26" i="6"/>
  <c r="E26" i="6"/>
  <c r="D26" i="6"/>
  <c r="C26" i="6"/>
  <c r="E41" i="6" s="1"/>
  <c r="E42" i="6" s="1"/>
  <c r="E44" i="6" s="1"/>
  <c r="E45" i="6" s="1"/>
  <c r="B26" i="6"/>
  <c r="C42" i="5"/>
  <c r="C36" i="5"/>
  <c r="D36" i="5" s="1"/>
  <c r="F36" i="5" s="1"/>
  <c r="G36" i="5" s="1"/>
  <c r="H36" i="5" s="1"/>
  <c r="D43" i="5" s="1"/>
  <c r="F35" i="5"/>
  <c r="G35" i="5" s="1"/>
  <c r="H35" i="5" s="1"/>
  <c r="C43" i="5" s="1"/>
  <c r="D35" i="5"/>
  <c r="C35" i="5"/>
  <c r="D34" i="5"/>
  <c r="F34" i="5" s="1"/>
  <c r="G34" i="5" s="1"/>
  <c r="H34" i="5" s="1"/>
  <c r="B43" i="5" s="1"/>
  <c r="C34" i="5"/>
  <c r="D33" i="5"/>
  <c r="F33" i="5" s="1"/>
  <c r="G33" i="5" s="1"/>
  <c r="H33" i="5" s="1"/>
  <c r="D42" i="5" s="1"/>
  <c r="C33" i="5"/>
  <c r="C32" i="5"/>
  <c r="D32" i="5" s="1"/>
  <c r="F32" i="5" s="1"/>
  <c r="G32" i="5" s="1"/>
  <c r="H32" i="5" s="1"/>
  <c r="C31" i="5"/>
  <c r="D31" i="5" s="1"/>
  <c r="F31" i="5" s="1"/>
  <c r="G31" i="5" s="1"/>
  <c r="H31" i="5" s="1"/>
  <c r="B42" i="5" s="1"/>
  <c r="G30" i="5"/>
  <c r="H30" i="5" s="1"/>
  <c r="D41" i="5" s="1"/>
  <c r="C30" i="5"/>
  <c r="D30" i="5" s="1"/>
  <c r="F30" i="5" s="1"/>
  <c r="C29" i="5"/>
  <c r="D29" i="5" s="1"/>
  <c r="F29" i="5" s="1"/>
  <c r="G29" i="5" s="1"/>
  <c r="H29" i="5" s="1"/>
  <c r="C41" i="5" s="1"/>
  <c r="D28" i="5"/>
  <c r="F28" i="5" s="1"/>
  <c r="G28" i="5" s="1"/>
  <c r="H28" i="5" s="1"/>
  <c r="B41" i="5" s="1"/>
  <c r="C28" i="5"/>
  <c r="G24" i="4"/>
  <c r="F24" i="4"/>
  <c r="E24" i="4"/>
  <c r="D24" i="4"/>
  <c r="C24" i="4"/>
  <c r="B24" i="4"/>
  <c r="B78" i="3"/>
  <c r="B81" i="3" s="1"/>
  <c r="B32" i="2" s="1"/>
  <c r="D65" i="3"/>
  <c r="C65" i="3"/>
  <c r="D63" i="3"/>
  <c r="C63" i="3"/>
  <c r="B63" i="3"/>
  <c r="E61" i="3"/>
  <c r="D61" i="3"/>
  <c r="C61" i="3"/>
  <c r="B61" i="3"/>
  <c r="B65" i="3" s="1"/>
  <c r="E57" i="3"/>
  <c r="D57" i="3"/>
  <c r="C57" i="3"/>
  <c r="B57" i="3"/>
  <c r="B52" i="3"/>
  <c r="E51" i="3"/>
  <c r="B51" i="3"/>
  <c r="E50" i="3"/>
  <c r="E52" i="3" s="1"/>
  <c r="D50" i="3"/>
  <c r="C50" i="3"/>
  <c r="B50" i="3"/>
  <c r="E45" i="3"/>
  <c r="D45" i="3"/>
  <c r="C45" i="3"/>
  <c r="F43" i="3"/>
  <c r="F45" i="3" s="1"/>
  <c r="E43" i="3"/>
  <c r="D43" i="3"/>
  <c r="C43" i="3"/>
  <c r="B43" i="3"/>
  <c r="B45" i="3" s="1"/>
  <c r="F40" i="3"/>
  <c r="F33" i="3"/>
  <c r="F21" i="3"/>
  <c r="E19" i="3"/>
  <c r="D19" i="3"/>
  <c r="C19" i="3"/>
  <c r="B19" i="3"/>
  <c r="C11" i="3"/>
  <c r="B11" i="3"/>
  <c r="E10" i="3"/>
  <c r="E11" i="3" s="1"/>
  <c r="D10" i="3"/>
  <c r="D11" i="3" s="1"/>
  <c r="C10" i="3"/>
  <c r="C20" i="3" s="1"/>
  <c r="B10" i="3"/>
  <c r="B20" i="3" s="1"/>
  <c r="C30" i="2"/>
  <c r="C22" i="2"/>
  <c r="C21" i="2"/>
  <c r="C20" i="2"/>
  <c r="C19" i="2"/>
  <c r="C14" i="2"/>
  <c r="C13" i="2"/>
  <c r="C12" i="2"/>
  <c r="C11" i="2"/>
  <c r="C10" i="2"/>
  <c r="C8" i="2"/>
  <c r="B8" i="2"/>
  <c r="B16" i="2" s="1"/>
  <c r="B34" i="2" s="1"/>
  <c r="B30" i="1"/>
  <c r="B29" i="1"/>
  <c r="B25" i="1"/>
  <c r="B26" i="1" s="1"/>
  <c r="B15" i="1"/>
  <c r="B14" i="1"/>
  <c r="B34" i="10"/>
  <c r="B22" i="10"/>
  <c r="B21" i="10"/>
  <c r="B20" i="10"/>
  <c r="B14" i="10"/>
  <c r="D10" i="10"/>
  <c r="D9" i="10"/>
  <c r="D8" i="10"/>
  <c r="D7" i="10"/>
  <c r="D6" i="10"/>
  <c r="D131" i="9" l="1"/>
  <c r="C33" i="3"/>
  <c r="C35" i="3" s="1"/>
  <c r="C21" i="3"/>
  <c r="C24" i="3"/>
  <c r="C26" i="3" s="1"/>
  <c r="B26" i="2"/>
  <c r="D20" i="3"/>
  <c r="D52" i="3"/>
  <c r="D51" i="3"/>
  <c r="E63" i="3"/>
  <c r="E65" i="3"/>
  <c r="B27" i="2"/>
  <c r="B33" i="2"/>
  <c r="B24" i="2"/>
  <c r="B37" i="2"/>
  <c r="B41" i="2" s="1"/>
  <c r="B43" i="2" s="1"/>
  <c r="E20" i="3"/>
  <c r="C35" i="9"/>
  <c r="D26" i="9"/>
  <c r="B15" i="10"/>
  <c r="B35" i="10"/>
  <c r="B33" i="3"/>
  <c r="B35" i="3" s="1"/>
  <c r="B21" i="3"/>
  <c r="C17" i="11"/>
  <c r="D14" i="10"/>
  <c r="B10" i="11"/>
  <c r="E10" i="11" s="1"/>
  <c r="B25" i="2"/>
  <c r="B24" i="3"/>
  <c r="B26" i="3" s="1"/>
  <c r="C16" i="2"/>
  <c r="C51" i="3"/>
  <c r="C52" i="3"/>
  <c r="C16" i="11"/>
  <c r="H16" i="7"/>
  <c r="H18" i="7"/>
  <c r="D27" i="7" s="1"/>
  <c r="D28" i="7" s="1"/>
  <c r="D30" i="7" s="1"/>
  <c r="D31" i="7" s="1"/>
  <c r="C12" i="9"/>
  <c r="G19" i="7"/>
  <c r="G16" i="7"/>
  <c r="D32" i="9" l="1"/>
  <c r="D21" i="3"/>
  <c r="D33" i="3"/>
  <c r="D35" i="3" s="1"/>
  <c r="D24" i="3"/>
  <c r="D26" i="3" s="1"/>
  <c r="D10" i="11"/>
  <c r="B17" i="11"/>
  <c r="D17" i="11" s="1"/>
  <c r="B39" i="3"/>
  <c r="B40" i="3" s="1"/>
  <c r="B36" i="3"/>
  <c r="E24" i="3"/>
  <c r="E26" i="3" s="1"/>
  <c r="E21" i="3"/>
  <c r="E33" i="3"/>
  <c r="E35" i="3" s="1"/>
  <c r="E17" i="11"/>
  <c r="B11" i="11"/>
  <c r="D15" i="10"/>
  <c r="C39" i="3"/>
  <c r="C40" i="3" s="1"/>
  <c r="C36" i="3"/>
  <c r="D36" i="9" l="1"/>
  <c r="D28" i="9"/>
  <c r="D29" i="9" s="1"/>
  <c r="D36" i="3"/>
  <c r="D39" i="3"/>
  <c r="D40" i="3" s="1"/>
  <c r="B16" i="11"/>
  <c r="D11" i="11"/>
  <c r="E11" i="11"/>
  <c r="E36" i="3"/>
  <c r="E39" i="3"/>
  <c r="E40" i="3" s="1"/>
  <c r="D16" i="11" l="1"/>
  <c r="E16" i="11"/>
  <c r="D35" i="9"/>
  <c r="E26" i="9"/>
  <c r="E32" i="9" l="1"/>
  <c r="E36" i="9" l="1"/>
  <c r="E28" i="9"/>
  <c r="E29" i="9" s="1"/>
  <c r="F26" i="9" l="1"/>
  <c r="E35" i="9"/>
  <c r="F32" i="9" l="1"/>
  <c r="F28" i="9" l="1"/>
  <c r="F29" i="9" s="1"/>
  <c r="F36" i="9"/>
  <c r="F35" i="9" l="1"/>
  <c r="G26" i="9"/>
  <c r="G32" i="9" l="1"/>
  <c r="G28" i="9" l="1"/>
  <c r="G29" i="9" s="1"/>
  <c r="G36" i="9"/>
  <c r="F45" i="9" l="1"/>
  <c r="F46" i="9" s="1"/>
  <c r="D45" i="9"/>
  <c r="D46" i="9" s="1"/>
  <c r="E45" i="9"/>
  <c r="E46" i="9" s="1"/>
  <c r="G35" i="9"/>
  <c r="B81" i="9"/>
  <c r="B45" i="9"/>
  <c r="B46" i="9" s="1"/>
  <c r="C45" i="9"/>
  <c r="C46" i="9" s="1"/>
  <c r="D47" i="9" l="1"/>
  <c r="D48" i="9"/>
  <c r="B47" i="9"/>
  <c r="B48" i="9"/>
  <c r="F87" i="9"/>
  <c r="F88" i="9" s="1"/>
  <c r="F89" i="9" s="1"/>
  <c r="F90" i="9" s="1"/>
  <c r="F91" i="9" s="1"/>
  <c r="E87" i="9"/>
  <c r="E88" i="9" s="1"/>
  <c r="E89" i="9" s="1"/>
  <c r="E90" i="9" s="1"/>
  <c r="E91" i="9" s="1"/>
  <c r="B95" i="9" s="1"/>
  <c r="C16" i="10" s="1"/>
  <c r="C12" i="11" s="1"/>
  <c r="C87" i="9"/>
  <c r="C88" i="9" s="1"/>
  <c r="C89" i="9" s="1"/>
  <c r="C90" i="9" s="1"/>
  <c r="C91" i="9" s="1"/>
  <c r="B94" i="9" s="1"/>
  <c r="B87" i="9"/>
  <c r="B88" i="9" s="1"/>
  <c r="B89" i="9" s="1"/>
  <c r="B90" i="9" s="1"/>
  <c r="B91" i="9" s="1"/>
  <c r="D87" i="9"/>
  <c r="D88" i="9" s="1"/>
  <c r="D89" i="9" s="1"/>
  <c r="D90" i="9" s="1"/>
  <c r="D91" i="9" s="1"/>
  <c r="E47" i="9"/>
  <c r="E48" i="9"/>
  <c r="C48" i="9"/>
  <c r="C47" i="9"/>
  <c r="F48" i="9"/>
  <c r="F47" i="9"/>
  <c r="C14" i="11" l="1"/>
  <c r="B36" i="10"/>
  <c r="B16" i="10"/>
  <c r="D16" i="10" l="1"/>
  <c r="B12" i="11"/>
  <c r="B14" i="11" l="1"/>
  <c r="D12" i="11"/>
  <c r="E12" i="11"/>
  <c r="D14" i="11" l="1"/>
  <c r="E14" i="11"/>
</calcChain>
</file>

<file path=xl/sharedStrings.xml><?xml version="1.0" encoding="utf-8"?>
<sst xmlns="http://schemas.openxmlformats.org/spreadsheetml/2006/main" count="1404" uniqueCount="1079">
  <si>
    <t>ELECTRONIC ARTS INC. (NASDAQ: EA) — TAKE-PRIVATE LBO DEAL SUMMARY</t>
  </si>
  <si>
    <t>TRANSACTION OVERVIEW</t>
  </si>
  <si>
    <t>Announcement Date</t>
  </si>
  <si>
    <t>September 29, 2025</t>
  </si>
  <si>
    <t>EA Form 8-K, filed 9/29/2025 (SEC EDGAR)</t>
  </si>
  <si>
    <t>Parent Entity</t>
  </si>
  <si>
    <t>Oak-Eagle AcquireCo, Inc. (Delaware)</t>
  </si>
  <si>
    <t>DEFM14A, p.22</t>
  </si>
  <si>
    <t>Consortium Members</t>
  </si>
  <si>
    <t>PIF (majority), Silver Lake, Affinity Partners</t>
  </si>
  <si>
    <t>DEFM14A, p.1</t>
  </si>
  <si>
    <t>Transaction Type</t>
  </si>
  <si>
    <t>All-Cash Take-Private Merger (LBO)</t>
  </si>
  <si>
    <t>DEFM14A, p.3</t>
  </si>
  <si>
    <t>Offer Price per Share</t>
  </si>
  <si>
    <t>Merger Agreement, Section 2.1</t>
  </si>
  <si>
    <t>Unaffected Share Price (9/25/2025)</t>
  </si>
  <si>
    <t>DEFM14A, p.44; DEFA14A 12/15/25</t>
  </si>
  <si>
    <t>52-Week High Prior to Deal (8/14/2025)</t>
  </si>
  <si>
    <t>DEFA14A, filed 12/15/2025</t>
  </si>
  <si>
    <t>Enterprise Value (~)</t>
  </si>
  <si>
    <t>EA Form 8-K, filed 9/29/2025</t>
  </si>
  <si>
    <t>PREMIUM ANALYSIS</t>
  </si>
  <si>
    <t>Premium to Unaffected Price</t>
  </si>
  <si>
    <t>($210 - $168.32) / $168.32</t>
  </si>
  <si>
    <t>Premium to 52-Week High</t>
  </si>
  <si>
    <t>($210 - $179.01) / $179.01</t>
  </si>
  <si>
    <t>SHARES OUTSTANDING</t>
  </si>
  <si>
    <t>Common Shares Outstanding (Record Date 11/19/25)</t>
  </si>
  <si>
    <t>DEFM14A, p.2 (250,106,129 shares)</t>
  </si>
  <si>
    <t>Diluted Shares (Goldman Sachs Estimate, mm)</t>
  </si>
  <si>
    <t>DEFA14A: 249.3M common + 0.003M options + 8.0M RSUs + 1.4M PSUs</t>
  </si>
  <si>
    <t>Basic Shares FY2025 Period-End (mm)</t>
  </si>
  <si>
    <t>FY25 10-K Press Release (Q4 Basic)</t>
  </si>
  <si>
    <t>Weighted Avg Diluted Shares FY2025 (mm)</t>
  </si>
  <si>
    <t>FY25 10-K (Diluted EPS computation)</t>
  </si>
  <si>
    <t>FINANCING STRUCTURE</t>
  </si>
  <si>
    <t>Total Equity Commitment ($mm)</t>
  </si>
  <si>
    <t>Equity Commitment Letters, per DEFM14A p.5</t>
  </si>
  <si>
    <t xml:space="preserve">  PIF Rollover (9.9% existing stake)</t>
  </si>
  <si>
    <t>CONFIRMED: 9.9% × 250,106,129 shares × $210 = $5,199M (DEFM14A p.2)</t>
  </si>
  <si>
    <t xml:space="preserve">  New Cash Equity (PIF + SL + Affinity)</t>
  </si>
  <si>
    <t>Proxy discloses only aggregate $36.4B; sponsor splits not disclosed</t>
  </si>
  <si>
    <t>Debt Financing Committed ($mm)</t>
  </si>
  <si>
    <t>JPMorgan Debt Commitment Letter, DEFM14A p.5</t>
  </si>
  <si>
    <t>Debt Expected Funded at Close ($mm)</t>
  </si>
  <si>
    <t>DEFM14A p.5 ('$18B of which is expected to be funded')</t>
  </si>
  <si>
    <t>Equity % of Total Capitalization</t>
  </si>
  <si>
    <t>$36.4b / ($36.4b + $18b)</t>
  </si>
  <si>
    <t>Debt % of Total Capitalization</t>
  </si>
  <si>
    <t>$18b / ($36.4b + $18b)</t>
  </si>
  <si>
    <t>KEY ADVISORS &amp; FEES</t>
  </si>
  <si>
    <t>Company Financial Advisor</t>
  </si>
  <si>
    <t>Goldman Sachs &amp; Co. LLC</t>
  </si>
  <si>
    <t>DEFM14A p.4</t>
  </si>
  <si>
    <t>GS Advisory Fee</t>
  </si>
  <si>
    <t>~$110 million ($10M at announcement + remainder at close)</t>
  </si>
  <si>
    <t>Debt Financing Lead Arranger</t>
  </si>
  <si>
    <t>JPMorgan Chase Bank, N.A.</t>
  </si>
  <si>
    <t>DEFM14A p.5; amended 10/27/25</t>
  </si>
  <si>
    <t>Proxy Solicitor</t>
  </si>
  <si>
    <t>Innisfree M&amp;A Incorporated</t>
  </si>
  <si>
    <t>DEFM14A cover letter</t>
  </si>
  <si>
    <t>EA Legal Advisors</t>
  </si>
  <si>
    <t>Wachtell, Lipton, Rosen &amp; Katz</t>
  </si>
  <si>
    <t>DEFM14A p.34 (Background of Merger)</t>
  </si>
  <si>
    <t>Consortium Legal Advisors</t>
  </si>
  <si>
    <t>Davis Polk; Kirkland &amp; Ellis; Sidley</t>
  </si>
  <si>
    <t>PitchBook Advisors section</t>
  </si>
  <si>
    <t>PIF Communications Advisor</t>
  </si>
  <si>
    <t>FGS Global</t>
  </si>
  <si>
    <t>HSR Act Filing</t>
  </si>
  <si>
    <t>November 3, 2025</t>
  </si>
  <si>
    <t>DEFM14A p.8</t>
  </si>
  <si>
    <t>HSR Waiting Period Expired</t>
  </si>
  <si>
    <t>Not yet confirmed in primary sources</t>
  </si>
  <si>
    <t>No SEC disclosure of HSR expiry as of latest filings reviewed</t>
  </si>
  <si>
    <t>Stockholder Vote (Special Meeting)</t>
  </si>
  <si>
    <t>December 22, 2025 — Approved</t>
  </si>
  <si>
    <t>DEFM14A p.2</t>
  </si>
  <si>
    <t>CFIUS Review</t>
  </si>
  <si>
    <t>Ongoing as of April 2026</t>
  </si>
  <si>
    <t>Expected Close</t>
  </si>
  <si>
    <t>Q1 FY27 (by ~June 30, 2026)</t>
  </si>
  <si>
    <t>DEFM14A p.3</t>
  </si>
  <si>
    <t>DEAL PROTECTIONS</t>
  </si>
  <si>
    <t>Company Termination Fee</t>
  </si>
  <si>
    <t>$1.0 billion (reduced to $540M in certain cases)</t>
  </si>
  <si>
    <t>DEFM14A p.12</t>
  </si>
  <si>
    <t>Parent Termination Fee</t>
  </si>
  <si>
    <t>$1.0 billion</t>
  </si>
  <si>
    <t>Limited Guarantees (Aggregate Cap)</t>
  </si>
  <si>
    <t>$1.02 billion</t>
  </si>
  <si>
    <t>DEFM14A p.5</t>
  </si>
  <si>
    <t>Financing Condition</t>
  </si>
  <si>
    <t>NONE — deal not conditioned on financing</t>
  </si>
  <si>
    <t>Appraisal Rights</t>
  </si>
  <si>
    <t>Available under DGCL Section 262</t>
  </si>
  <si>
    <t>POST-SIGNING DEAL UPDATES</t>
  </si>
  <si>
    <t>Existing Bond Tender Offer</t>
  </si>
  <si>
    <t>Launched 2/10/2026 by Oak-Eagle AcquireCo for $1.5B of 2031 and 2051 notes</t>
  </si>
  <si>
    <t>Oak-Eagle tender offer press release</t>
  </si>
  <si>
    <t>Debt Syndication Status</t>
  </si>
  <si>
    <t>$8B bond component launched March 2026</t>
  </si>
  <si>
    <t>Bloomberg / FT reporting, March 2026</t>
  </si>
  <si>
    <t>Outside Date (Merger Agreement)</t>
  </si>
  <si>
    <t>September 28, 2026</t>
  </si>
  <si>
    <t>Merger Agreement §8.1(b)</t>
  </si>
  <si>
    <t>ENTERPRISE VALUE BRIDGE — ELECTRONIC ARTS INC.</t>
  </si>
  <si>
    <t>Reconciliation from offer price to implied Enterprise Value | Sources: DEFM14A, FY25 10-K</t>
  </si>
  <si>
    <t>EQUITY VALUE TO ENTERPRISE VALUE BRIDGE ($mm)</t>
  </si>
  <si>
    <t>Amount ($mm)</t>
  </si>
  <si>
    <t>Per Share ($)</t>
  </si>
  <si>
    <t>Source</t>
  </si>
  <si>
    <t>$210.00 per Merger Agreement</t>
  </si>
  <si>
    <t>(x) Diluted Shares Outstanding (mm)</t>
  </si>
  <si>
    <t>DEFA14A: 249.3M + 8.0M RSU + 1.4M PSU + 0.003M options</t>
  </si>
  <si>
    <t>Implied Equity Value</t>
  </si>
  <si>
    <t>(+) Total Funded Debt (Senior Notes)</t>
  </si>
  <si>
    <t>FY25 10-K: $400M 2026 (matured 3/1/26, repaid in course) + $750M 2031 + $750M 2051. Face total $1.9B; LBO refinance only $1.5B.</t>
  </si>
  <si>
    <t>(+) Capital Lease Obligations</t>
  </si>
  <si>
    <t>FY25 10-K Balance Sheet footnotes</t>
  </si>
  <si>
    <t>(+) Minority Interests / Preferred</t>
  </si>
  <si>
    <t>None outstanding</t>
  </si>
  <si>
    <t>(-) Cash &amp; Cash Equivalents</t>
  </si>
  <si>
    <t>FY25 10-K Balance Sheet ($2,136M)</t>
  </si>
  <si>
    <t>(-) Short-Term Investments</t>
  </si>
  <si>
    <t>FY25 10-K Balance Sheet ($112M)</t>
  </si>
  <si>
    <t>Implied Enterprise Value</t>
  </si>
  <si>
    <t>DEAL MULTIPLE CHECK</t>
  </si>
  <si>
    <t>FY2025 EBITDA (OpInc + D&amp;A)</t>
  </si>
  <si>
    <t>$1,520 + $356 (FY25 10-K)</t>
  </si>
  <si>
    <t>FY2025 Adj. EBITDA (incl SBC + Restr.)</t>
  </si>
  <si>
    <t>$1,876 + $642 SBC + $57 Restr. (FY25 10-K)</t>
  </si>
  <si>
    <t>FY2026E Adj. EBITDA (GS Mgmt Forecast)</t>
  </si>
  <si>
    <t>GS/Mgmt Forecasts per DEFA14A</t>
  </si>
  <si>
    <t>FY2027E Adj. EBITDA (GS Mgmt Forecast)</t>
  </si>
  <si>
    <t>EV / FY2025 EBITDA</t>
  </si>
  <si>
    <t>EV / FY2025 Adj. EBITDA</t>
  </si>
  <si>
    <t>EV / FY2026E Adj. EBITDA</t>
  </si>
  <si>
    <t>EV / FY2027E Adj. EBITDA</t>
  </si>
  <si>
    <t>LTM REFERENCE (through September 30, 2025)</t>
  </si>
  <si>
    <t>LTM Net Revenue</t>
  </si>
  <si>
    <t>EA Q2 FY26 8-K (10/28/2025) — TTM through 9/30/25</t>
  </si>
  <si>
    <t>LTM Net Bookings</t>
  </si>
  <si>
    <t>EA Q2 FY26 8-K (10/28/2025)</t>
  </si>
  <si>
    <t>LTM Adj EBITDA (derived)</t>
  </si>
  <si>
    <t>FY25 Adj EBITDA $2,084 + Q1+Q2 FY26 $744 − Q1+Q2 FY25 $1,061 (estimated)</t>
  </si>
  <si>
    <t>EV / LTM Net Revenue</t>
  </si>
  <si>
    <t>EV / LTM Adj EBITDA</t>
  </si>
  <si>
    <t>RECONCILIATION TO "$55 BILLION" DEAL HEADLINE</t>
  </si>
  <si>
    <t>Balance-sheet Implied EV (row 16)</t>
  </si>
  <si>
    <t>(+) Refinance Early-Tender Premium &amp; Accrued Interest</t>
  </si>
  <si>
    <t>Oak-Eagle tender pricing (2/25/2026)</t>
  </si>
  <si>
    <t>(+) Capitalized Debt Financing Fees + OID (est.)</t>
  </si>
  <si>
    <t>Bloomberg (10/1/2025) — $500M JPMorgan fee</t>
  </si>
  <si>
    <t>(+) Advisor &amp; Transaction Fees</t>
  </si>
  <si>
    <t>DEFM14A p.4 — GS $110M + other ~$305M</t>
  </si>
  <si>
    <t>Reconciled EV</t>
  </si>
  <si>
    <t>Deal Headline (rounded)</t>
  </si>
  <si>
    <t>Residual (unexplained rounding)</t>
  </si>
  <si>
    <t>Note: $55B headline = balance-sheet EV + capitalized transaction costs + rounding. Primary-source EV per DEFM14A $54-55B range.</t>
  </si>
  <si>
    <t>ELECTRONIC ARTS INC. — HISTORICAL FINANCIAL SUMMARY</t>
  </si>
  <si>
    <t>Fiscal Year Ends March 31 | All figures in $mm except per share | Sources: EA 10-K &amp; Earnings Press Releases (SEC EDGAR)</t>
  </si>
  <si>
    <t>FY2022</t>
  </si>
  <si>
    <t>FY2023</t>
  </si>
  <si>
    <t>FY2024</t>
  </si>
  <si>
    <t>FY2025</t>
  </si>
  <si>
    <t>FY2026E (Guidance)</t>
  </si>
  <si>
    <t>INCOME STATEMENT</t>
  </si>
  <si>
    <t>Net Revenue</t>
  </si>
  <si>
    <t>10-K</t>
  </si>
  <si>
    <t xml:space="preserve">  Full Game</t>
  </si>
  <si>
    <t>N/A</t>
  </si>
  <si>
    <t xml:space="preserve">  Live Services &amp; Other</t>
  </si>
  <si>
    <t>Cost of Revenue</t>
  </si>
  <si>
    <t>10-K / FY25 Press Release</t>
  </si>
  <si>
    <t>Gross Profit</t>
  </si>
  <si>
    <t>Gross Margin %</t>
  </si>
  <si>
    <t>Operating Expenses:</t>
  </si>
  <si>
    <t xml:space="preserve">  Research &amp; Development</t>
  </si>
  <si>
    <t xml:space="preserve">  Marketing &amp; Sales</t>
  </si>
  <si>
    <t xml:space="preserve">  General &amp; Administrative</t>
  </si>
  <si>
    <t xml:space="preserve">  Amortization &amp; Impairment of Intangibles</t>
  </si>
  <si>
    <t xml:space="preserve">  Restructuring</t>
  </si>
  <si>
    <t>Total Operating Expenses</t>
  </si>
  <si>
    <t>N/A (not in guidance)</t>
  </si>
  <si>
    <t>EA does not provide cost-of-revenue guidance; OpInc derived in F20</t>
  </si>
  <si>
    <t>Operating Income (EBIT)</t>
  </si>
  <si>
    <t>Derived: Adj EBITDA $2,759 (DEFA14A) - SBC $680 (DEFA14A fn1) - ΔDR $550 (NB $7,850 - Rev $7,300)</t>
  </si>
  <si>
    <t>Operating Margin %</t>
  </si>
  <si>
    <t>Interest &amp; Other Income (Expense), Net</t>
  </si>
  <si>
    <t>Income Before Taxes</t>
  </si>
  <si>
    <t>Provision for Income Taxes</t>
  </si>
  <si>
    <t>Effective Tax Rate</t>
  </si>
  <si>
    <t>Net Income</t>
  </si>
  <si>
    <t>10-K / FY26 Guidance</t>
  </si>
  <si>
    <t>Diluted EPS</t>
  </si>
  <si>
    <t>Diluted Shares (Wtd Avg, mm)</t>
  </si>
  <si>
    <t>10-K (FY26E from guidance)</t>
  </si>
  <si>
    <t>EBITDA BRIDGE</t>
  </si>
  <si>
    <t>Operating Income (from above)</t>
  </si>
  <si>
    <t>(+) Depreciation, Amort, Accretion &amp; Impairment</t>
  </si>
  <si>
    <t>Cash Flow Statement (10-K)</t>
  </si>
  <si>
    <t>EBITDA</t>
  </si>
  <si>
    <t>EBITDA Margin %</t>
  </si>
  <si>
    <t>(+) Stock-Based Compensation</t>
  </si>
  <si>
    <t>(+) Restructuring</t>
  </si>
  <si>
    <t>10-K (added back for Adj EBITDA)</t>
  </si>
  <si>
    <t>Adjusted EBITDA (incl SBC &amp; Restructuring add-back)</t>
  </si>
  <si>
    <t>GS Mgmt Forecast per DEFA14A (note: different definition than historical calc)</t>
  </si>
  <si>
    <t>Adjusted EBITDA Margin %</t>
  </si>
  <si>
    <t>NET BOOKINGS</t>
  </si>
  <si>
    <t>(+/-) Change in Deferred Net Revenue</t>
  </si>
  <si>
    <t>Press Releases (FY24-25 verified; FY22-23 estimated)</t>
  </si>
  <si>
    <t>Total Net Bookings</t>
  </si>
  <si>
    <t>CASH FLOW STATEMENT</t>
  </si>
  <si>
    <t>Operating Cash Flow</t>
  </si>
  <si>
    <t>Capital Expenditures</t>
  </si>
  <si>
    <t>10-K / Yahoo Finance CF (verified)</t>
  </si>
  <si>
    <t>Free Cash Flow (OCF - CapEx)</t>
  </si>
  <si>
    <t>FCF Margin %</t>
  </si>
  <si>
    <t>FCF Conversion (FCF / Net Income)</t>
  </si>
  <si>
    <t>BALANCE SHEET (PERIOD END)</t>
  </si>
  <si>
    <t>Cash &amp; Cash Equivalents</t>
  </si>
  <si>
    <t>10-K Balance Sheet</t>
  </si>
  <si>
    <t>Short-Term Investments</t>
  </si>
  <si>
    <t>10-K Balance Sheet (all 4 years verified from 10-K comparatives)</t>
  </si>
  <si>
    <t>Total Cash &amp; STI</t>
  </si>
  <si>
    <t>Senior Notes, Current</t>
  </si>
  <si>
    <t>Senior Notes, Non-Current</t>
  </si>
  <si>
    <t>Total Funded Debt (Senior Notes)</t>
  </si>
  <si>
    <t>Capital Lease Obligations</t>
  </si>
  <si>
    <t>10-K (from Yahoo / BS footnotes)</t>
  </si>
  <si>
    <t>Total Debt incl Leases</t>
  </si>
  <si>
    <t>Net Debt (Total Funded Debt - Cash &amp; STI)</t>
  </si>
  <si>
    <t>Goodwill</t>
  </si>
  <si>
    <t>10-K Balance Sheet (all 4 years now verified from 10-K comparatives)</t>
  </si>
  <si>
    <t>Total Assets</t>
  </si>
  <si>
    <t>Total Stockholders' Equity</t>
  </si>
  <si>
    <t>Deferred Net Revenue (Current Liability)</t>
  </si>
  <si>
    <t>LTM REFERENCE DATA (through 9/30/2025) — Goldman Fairness Opinion Basis</t>
  </si>
  <si>
    <t>LTM Net Revenue ($mm)</t>
  </si>
  <si>
    <t>EA Q2 FY26 8-K (10/28/25); TTM 4 quarters</t>
  </si>
  <si>
    <t>LTM Net Bookings ($mm)</t>
  </si>
  <si>
    <t>EA Q2 FY26 8-K (10/28/25)</t>
  </si>
  <si>
    <t>LTM Operating Income ($mm, estimated)</t>
  </si>
  <si>
    <t>ILLUSTRATIVE: FY25 $1,520 + Q1+Q2 FY26 est. − Q1+Q2 FY25</t>
  </si>
  <si>
    <t>LTM D&amp;A ($mm, estimated)</t>
  </si>
  <si>
    <t>ILLUSTRATIVE</t>
  </si>
  <si>
    <t>LTM EBITDA (OpInc + D&amp;A)</t>
  </si>
  <si>
    <t>LTM SBC ($mm, estimated)</t>
  </si>
  <si>
    <t>LTM Restructuring ($mm, estimated)</t>
  </si>
  <si>
    <t>LTM Adj EBITDA (incl SBC + Restr.)</t>
  </si>
  <si>
    <t>Used as LTM EBITDA denominator for CCA &amp; PTA</t>
  </si>
  <si>
    <t>Definition Note:</t>
  </si>
  <si>
    <t>Our LTM Adj EBITDA definition (GAAP OpInc + D&amp;A + SBC + Restructuring) differs from Goldman's "Adjusted EBITDA" in the DEFA14A Management Forecasts table.</t>
  </si>
  <si>
    <t>STOCK PRICE REFERENCES (per DEFM14A / DEFA14A)</t>
  </si>
  <si>
    <t>Unaffected Close (9/25/2025)</t>
  </si>
  <si>
    <t>DEFM14A p.44 — last undisturbed price</t>
  </si>
  <si>
    <t>52-Week High Close (8/14/2025)</t>
  </si>
  <si>
    <t>DEFA14A (12/15/2025)</t>
  </si>
  <si>
    <t>52-Week Low Close</t>
  </si>
  <si>
    <t>DEFA14A supplemental disclosure</t>
  </si>
  <si>
    <t>30-day VWAP</t>
  </si>
  <si>
    <t>DEFM14A Historical Stock Trading Analysis</t>
  </si>
  <si>
    <t>90-day VWAP</t>
  </si>
  <si>
    <t>DEFM14A</t>
  </si>
  <si>
    <t>6-month VWAP</t>
  </si>
  <si>
    <t>DISCOUNTED CASH FLOW ANALYSIS — BASED ON GOLDMAN SACHS FAIRNESS OPINION</t>
  </si>
  <si>
    <t>Source: EA DEFM14A (filed 11/20/2025) and Supplemental DEFA14A (filed 12/15/2025) | SEC EDGAR</t>
  </si>
  <si>
    <t>DCF KEY ASSUMPTIONS (per Goldman Sachs)</t>
  </si>
  <si>
    <t>Valuation Date</t>
  </si>
  <si>
    <t>June 30, 2025</t>
  </si>
  <si>
    <t>DEFM14A p.43</t>
  </si>
  <si>
    <t>Discounting Convention</t>
  </si>
  <si>
    <t>Mid-year</t>
  </si>
  <si>
    <t>WACC Range</t>
  </si>
  <si>
    <t>7.5% - 9.5%</t>
  </si>
  <si>
    <t>DEFM14A p.43 (CAPM-based)</t>
  </si>
  <si>
    <t>Terminal Perpetuity Growth Rate Range</t>
  </si>
  <si>
    <t>2.0% - 3.0%</t>
  </si>
  <si>
    <t>Cost of Equity (for Tax Asset discounting)</t>
  </si>
  <si>
    <t>8.5%</t>
  </si>
  <si>
    <t>DEFM14A p.43 (CAPM)</t>
  </si>
  <si>
    <t>Annual Stock-Based Compensation (assumed)</t>
  </si>
  <si>
    <t>$680 million</t>
  </si>
  <si>
    <t>DEFA14A footnote (1)</t>
  </si>
  <si>
    <t>Diluted Shares (GS basis, mm)</t>
  </si>
  <si>
    <t>258.7</t>
  </si>
  <si>
    <t>DEFA14A (249.3 + 0.003 + 8.0 + 1.4)</t>
  </si>
  <si>
    <t>GS DCF IMPLIED VALUE PER SHARE</t>
  </si>
  <si>
    <t>$137 - $220</t>
  </si>
  <si>
    <t>Per DEFA14A supplemental p.1</t>
  </si>
  <si>
    <t>$210.00</t>
  </si>
  <si>
    <t>Merger Agreement</t>
  </si>
  <si>
    <t>MANAGEMENT FINANCIAL FORECASTS (disclosed in DEFM14A / DEFA14A)</t>
  </si>
  <si>
    <t>FY2026E</t>
  </si>
  <si>
    <t>FY2027E</t>
  </si>
  <si>
    <t>FY2028E</t>
  </si>
  <si>
    <t>FY2029E</t>
  </si>
  <si>
    <t>FY2030E</t>
  </si>
  <si>
    <t>FY2031E</t>
  </si>
  <si>
    <t>Net Bookings</t>
  </si>
  <si>
    <t>DEFA14A Table</t>
  </si>
  <si>
    <t>Adjusted EBITDA (GS Definition)</t>
  </si>
  <si>
    <t>(-) Stock-Based Compensation</t>
  </si>
  <si>
    <t>(-) Cash Taxes</t>
  </si>
  <si>
    <t>(+) Depreciation</t>
  </si>
  <si>
    <t>(+/-) Change in Net Working Capital</t>
  </si>
  <si>
    <t>(-) Capital Expenditures (implied)</t>
  </si>
  <si>
    <t>UFCF residual</t>
  </si>
  <si>
    <t>Unlevered Free Cash Flow</t>
  </si>
  <si>
    <t>Tax Asset Benefits (NOL / Reform)</t>
  </si>
  <si>
    <t>DEFA14A Table (see footnote 5)</t>
  </si>
  <si>
    <t>DCF SENSITIVITY — IMPLIED EQUITY VALUE PER SHARE ($)</t>
  </si>
  <si>
    <t>Goldman Sachs Disclosed Range: $137 - $220 per DEFA14A</t>
  </si>
  <si>
    <t>Grid reconstructed from disclosed corners ($137 low, $220 high); minor differences (&lt;3%) reflect undisclosed net cash and tax asset timing inputs</t>
  </si>
  <si>
    <t>WACC \ TGR</t>
  </si>
  <si>
    <t>2.0%</t>
  </si>
  <si>
    <t>2.5%</t>
  </si>
  <si>
    <t>3.0%</t>
  </si>
  <si>
    <t>7.5%</t>
  </si>
  <si>
    <t>8.0%</t>
  </si>
  <si>
    <t>9.0%</t>
  </si>
  <si>
    <t>9.5%</t>
  </si>
  <si>
    <t>Note: The $210 offer price falls near the HIGH END of GS's $137-$220 DCF range (within top 5%).</t>
  </si>
  <si>
    <t>GS also conducted: (i) Future Share Price ($157-$236); (ii) Premia Paid Unaffected ($203-$255); (iii) Premia Paid 52-wk High ($163-$218).</t>
  </si>
  <si>
    <t>DCF RECONSTRUCTION NOTES:</t>
  </si>
  <si>
    <t>Terminal Value Method:</t>
  </si>
  <si>
    <t>Gordon Growth perpetuity (per DEFA14A)</t>
  </si>
  <si>
    <t>DEFM14A p.43 "perpetuity growth rates ranging from 2% to 3%"</t>
  </si>
  <si>
    <t>Explicit Period:</t>
  </si>
  <si>
    <t>FY26E - FY31E (6 years)</t>
  </si>
  <si>
    <t>Cash Flow Discount Date:</t>
  </si>
  <si>
    <t>Tax Asset Discount Date:</t>
  </si>
  <si>
    <t>September 25, 2025 @ 8.5% cost of equity</t>
  </si>
  <si>
    <t>DEFM14A p.43 (separate discount)</t>
  </si>
  <si>
    <t>Diluted Shares:</t>
  </si>
  <si>
    <t>258.7M</t>
  </si>
  <si>
    <t>249.3 common + 0.003 options (TSM) + 8.0 RSU + 1.4 PSU target</t>
  </si>
  <si>
    <t>Reconciliation to GS corners:</t>
  </si>
  <si>
    <t xml:space="preserve">  7.5% WACC / 3.0% TGR</t>
  </si>
  <si>
    <t>$214 vs GS $220 (within $6)</t>
  </si>
  <si>
    <t xml:space="preserve">  9.5% WACC / 2.0% TGR</t>
  </si>
  <si>
    <t>$134 vs GS $137 (within $3)</t>
  </si>
  <si>
    <t>Gap explanation:</t>
  </si>
  <si>
    <t>Net cash $364M per EA Historicals E65 (FY25 Net Debt of -$364M = $364M net cash). Tax asset intra-year timing not disclosed by GS.</t>
  </si>
  <si>
    <t>ILLUSTRATIVE PRESENT VALUE OF FUTURE SHARE PRICE — GOLDMAN SACHS FAIRNESS OPINION</t>
  </si>
  <si>
    <t>KEY ASSUMPTIONS (per Goldman Sachs)</t>
  </si>
  <si>
    <t>Valuation / Discount Date</t>
  </si>
  <si>
    <t>DEFM14A p.43-44</t>
  </si>
  <si>
    <t>Multiple Basis</t>
  </si>
  <si>
    <t>EV / NTM Adjusted EBITDA</t>
  </si>
  <si>
    <t>Multiple Range</t>
  </si>
  <si>
    <t>14.0x - 16.0x</t>
  </si>
  <si>
    <t>Forward Measurement Years</t>
  </si>
  <si>
    <t>FY2026, FY2027, FY2028</t>
  </si>
  <si>
    <t>Discount Rate (Cost of Equity)</t>
  </si>
  <si>
    <t>DEFM14A (CAPM-based)</t>
  </si>
  <si>
    <t>Annual Dividend</t>
  </si>
  <si>
    <t>$0.76 per share</t>
  </si>
  <si>
    <t>DEFM14A (cumulative added back at PV)</t>
  </si>
  <si>
    <t>Forward Diluted Shares FY26</t>
  </si>
  <si>
    <t>255.6M</t>
  </si>
  <si>
    <t>DEFA14A supplemental</t>
  </si>
  <si>
    <t>Forward Diluted Shares FY27</t>
  </si>
  <si>
    <t>250.3M</t>
  </si>
  <si>
    <t>Forward Diluted Shares FY28</t>
  </si>
  <si>
    <t>243.3M</t>
  </si>
  <si>
    <t>Net Cash Assumption</t>
  </si>
  <si>
    <t>+$364M (illustrative)</t>
  </si>
  <si>
    <t>Approximate; GS figure not disclosed</t>
  </si>
  <si>
    <t>GS FUTURE SHARE PRICE IMPLIED VALUE PER SHARE</t>
  </si>
  <si>
    <t>GS Stated Range</t>
  </si>
  <si>
    <t>$157 - $236</t>
  </si>
  <si>
    <t>DEFA14A p.2 (restated paragraph)</t>
  </si>
  <si>
    <t>Merger Agreement §2.1</t>
  </si>
  <si>
    <t>FORWARD-YEAR NTM ADJUSTED EBITDA INPUTS ($mm)</t>
  </si>
  <si>
    <t>Year-End Date</t>
  </si>
  <si>
    <t>NTM = Next FY</t>
  </si>
  <si>
    <t>NTM EBITDA ($mm)</t>
  </si>
  <si>
    <t>End of FY2026 (March 31, 2026)</t>
  </si>
  <si>
    <t>FY27E</t>
  </si>
  <si>
    <t>DEFA14A Management Forecast</t>
  </si>
  <si>
    <t>End of FY2027 (March 31, 2027)</t>
  </si>
  <si>
    <t>FY28E</t>
  </si>
  <si>
    <t>End of FY2028 (March 31, 2028)</t>
  </si>
  <si>
    <t>FY29E</t>
  </si>
  <si>
    <t>FULL CALCULATION TABLE — 3x3 GRID</t>
  </si>
  <si>
    <t>Forward Year</t>
  </si>
  <si>
    <t>Multiple</t>
  </si>
  <si>
    <t>NTM EBITDA</t>
  </si>
  <si>
    <t>Implied EV</t>
  </si>
  <si>
    <t>(+) Net Cash</t>
  </si>
  <si>
    <t>Fwd Equity/sh</t>
  </si>
  <si>
    <t>PV @ 8.5%</t>
  </si>
  <si>
    <t>+ Div PV</t>
  </si>
  <si>
    <t>FY26</t>
  </si>
  <si>
    <t>FY27</t>
  </si>
  <si>
    <t>FY28</t>
  </si>
  <si>
    <t>SUMMARY 3×3 GRID — IMPLIED PRESENT VALUE PER SHARE ($)</t>
  </si>
  <si>
    <t>Year \ Multiple</t>
  </si>
  <si>
    <t>14.0x</t>
  </si>
  <si>
    <t>15.0x</t>
  </si>
  <si>
    <t>16.0x</t>
  </si>
  <si>
    <t>FY2026 (Mar-26)</t>
  </si>
  <si>
    <t>FY2027 (Mar-27)</t>
  </si>
  <si>
    <t>FY2028 (Mar-28)</t>
  </si>
  <si>
    <t>RECONCILIATION TO GOLDMAN'S STATED RANGE $157-$236:</t>
  </si>
  <si>
    <t>Low Corner</t>
  </si>
  <si>
    <t>FY26 / 14.0x</t>
  </si>
  <si>
    <t>$157 (EXACT MATCH)</t>
  </si>
  <si>
    <t>High Corner</t>
  </si>
  <si>
    <t>FY27 / 16.0x</t>
  </si>
  <si>
    <t>$235-236 (within $1)</t>
  </si>
  <si>
    <t>Note: FY28 values step DOWN from FY27 because FY29E EBITDA ($4,060M) is below FY28E ($4,200M)</t>
  </si>
  <si>
    <t>reflecting EA's biennial release cadence (Battlefield 6 in FY26, FC sports titles, then back-loaded FY28).</t>
  </si>
  <si>
    <t>Note: The $210 offer price falls at the 67th percentile of GS Future Share Price range ($157-$236).</t>
  </si>
  <si>
    <t>DIRECT QUOTE FROM DEFA14A (SUPPLEMENTAL DISCLOSURE):</t>
  </si>
  <si>
    <t>"Goldman Sachs first calculated the implied enterprise values for the Company for each</t>
  </si>
  <si>
    <t>of the fiscal years 2026 to 2028 by applying illustrative NTM EV / Adjusted EBITDA</t>
  </si>
  <si>
    <t>multiples of 14.0x to 16.0x to estimates of next-twelve-months Adjusted EBITDA...</t>
  </si>
  <si>
    <t>discounted these implied future values per share of Company common stock to June 30,</t>
  </si>
  <si>
    <t>2025 using an illustrative discount rate of 8.5%... Goldman Sachs then added the present</t>
  </si>
  <si>
    <t>values of the cumulative dividends per share... This analysis resulted in a range of implied</t>
  </si>
  <si>
    <t>present value per share of Company common stock of $157 to $236."</t>
  </si>
  <si>
    <t>Simplification Note:</t>
  </si>
  <si>
    <t xml:space="preserve">In reality, cash accumulates via operating cash flow minus buybacks/dividends. Goldman's forward net cash assumptions not disclosed. </t>
  </si>
  <si>
    <t>FY28 cash likely higher than FY26; correcting this would raise FY28 column outputs by ~$5-10/share.</t>
  </si>
  <si>
    <t>COMPARABLE COMPANY ANALYSIS — INDEPENDENT REFERENCE ANALYSIS</t>
  </si>
  <si>
    <t>Source: PitchBook Data, Inc. | Downloaded 04/12/2026 | NOTE: Goldman Sachs did NOT perform a Selected Companies Analysis in its fairness opinion.</t>
  </si>
  <si>
    <t>Note: Goldman Sachs did not perform a Selected Companies Analysis in its fairness opinion (DEFM14A pp. 41-55). This analysis is independent reference only.</t>
  </si>
  <si>
    <t>TTM FINANCIALS (Source: PitchBook)</t>
  </si>
  <si>
    <t>Company</t>
  </si>
  <si>
    <t>Ticker</t>
  </si>
  <si>
    <t>TTM Revenue ($K)</t>
  </si>
  <si>
    <t>TTM EBITDA ($K)</t>
  </si>
  <si>
    <t>EBITDA Margin</t>
  </si>
  <si>
    <t>Revenue Growth</t>
  </si>
  <si>
    <t>EBITDA Growth</t>
  </si>
  <si>
    <t>Net Income ($K)</t>
  </si>
  <si>
    <t>Net Margin</t>
  </si>
  <si>
    <t>CapEx/Sales</t>
  </si>
  <si>
    <t>Take-Two Interactive</t>
  </si>
  <si>
    <t>NAS:TTWO</t>
  </si>
  <si>
    <t>N/M</t>
  </si>
  <si>
    <t>Ubisoft Entertainment</t>
  </si>
  <si>
    <t>PAR:UBI</t>
  </si>
  <si>
    <t>Capcom Co.</t>
  </si>
  <si>
    <t>TKS:9697</t>
  </si>
  <si>
    <t>Square Enix Holdings</t>
  </si>
  <si>
    <t>TKS:9684</t>
  </si>
  <si>
    <t>Krafton, Inc.</t>
  </si>
  <si>
    <t>KRX:259960</t>
  </si>
  <si>
    <t>NetEase, Inc.</t>
  </si>
  <si>
    <t>HKG:09999</t>
  </si>
  <si>
    <t>Electronic Arts (Target)</t>
  </si>
  <si>
    <t>NAS:EA</t>
  </si>
  <si>
    <t>TRADING MULTIPLES — as of April 13, 2026 (Source: PitchBook)</t>
  </si>
  <si>
    <t>EV/Revenue</t>
  </si>
  <si>
    <t>EV/EBITDA (Normalized)</t>
  </si>
  <si>
    <t>Price/Revenue</t>
  </si>
  <si>
    <t>Price/Earnings</t>
  </si>
  <si>
    <t>Dividend Yield</t>
  </si>
  <si>
    <t>SUMMARY STATISTICS (Comps Only, excl. EA)</t>
  </si>
  <si>
    <t>EV/EBITDA</t>
  </si>
  <si>
    <t>P/Revenue</t>
  </si>
  <si>
    <t>Mean (PitchBook)</t>
  </si>
  <si>
    <t>Median</t>
  </si>
  <si>
    <t>25th Percentile</t>
  </si>
  <si>
    <t>75th Percentile</t>
  </si>
  <si>
    <t>Median (excl. TTWO)</t>
  </si>
  <si>
    <t>Excludes Take-Two (55.5x outlier due to GTA VI cycle)</t>
  </si>
  <si>
    <t>PitchBook Comps Set Mean (for reference)</t>
  </si>
  <si>
    <t>Electronic Arts (Deal Multiples)</t>
  </si>
  <si>
    <t>Source: PitchBook (at $210 deal price)</t>
  </si>
  <si>
    <t>Mean (excl. TTWO)</t>
  </si>
  <si>
    <t>Note: LTM-basis output below applies peer multiples to EA trough-year EBITDA. Forward FY27E basis (rows 53-70) is used for Football Field valuation.</t>
  </si>
  <si>
    <t>EA IMPLIED VALUATION FROM CCA</t>
  </si>
  <si>
    <t>EA TTM EBITDA ($K, PitchBook)</t>
  </si>
  <si>
    <t>Source: PitchBook TTM (Analyst Normalized; includes SBC + Restructuring add-back). GAAP-based LTM estimate ~$1,767M.</t>
  </si>
  <si>
    <t>EA Net Debt ($K, FY2025)</t>
  </si>
  <si>
    <t>FY25 10-K: Cash+STI $2,248M − Funded Debt $1,884M = $364M net cash</t>
  </si>
  <si>
    <t>Diluted Shares (K, GS basis)</t>
  </si>
  <si>
    <t>DEFA14A: 249.3M + 8.0M RSU + 1.4M PSU</t>
  </si>
  <si>
    <t>25th Pctl</t>
  </si>
  <si>
    <t>75th Pctl</t>
  </si>
  <si>
    <t>Mean</t>
  </si>
  <si>
    <t>EV/EBITDA Multiple Applied</t>
  </si>
  <si>
    <t>Implied Enterprise Value ($K)</t>
  </si>
  <si>
    <t>(+) Net Cash ($K)</t>
  </si>
  <si>
    <t>Implied Equity Value ($K)</t>
  </si>
  <si>
    <t>Implied Price per Share</t>
  </si>
  <si>
    <t>Offer Price</t>
  </si>
  <si>
    <t>Note: Multiples are as of 04/13/2026 (post-deal announcement). Pre-deal unaffected multiples would differ.</t>
  </si>
  <si>
    <t>Note: Take-Two EV/EBITDA of 55.5x is an outlier due to pre-GTA VI launch cycle depressed EBITDA. Consider excl. for sensitivity.</t>
  </si>
  <si>
    <t>FORWARD-EBITDA CCA VARIANT (applied to FY27E management forecast)</t>
  </si>
  <si>
    <t>LTM-based CCA understates EA value due to FY26 trough-year EBITDA. Forward analysis below</t>
  </si>
  <si>
    <t>applies comp EV/EBITDA range (14x-20x from peer set) to FY27E $3,003M per DEFA14A forecast.</t>
  </si>
  <si>
    <t>EA FY27E Adjusted EBITDA ($mm)</t>
  </si>
  <si>
    <t>Source: DEFA14A Management Forecasts</t>
  </si>
  <si>
    <t>EA Net Cash ($mm)</t>
  </si>
  <si>
    <t>FY25 10-K: Cash + STI $2,248M - Funded Debt $1,884M = $364M net cash</t>
  </si>
  <si>
    <t>Diluted Shares (mm)</t>
  </si>
  <si>
    <t>DEFA14A: 249.3 + 0.003 + 8.0 + 1.4</t>
  </si>
  <si>
    <t>Multiple Applied</t>
  </si>
  <si>
    <t>18.0x</t>
  </si>
  <si>
    <t>20.0x</t>
  </si>
  <si>
    <t>Implied EV ($mm)</t>
  </si>
  <si>
    <t>CCA RANGE FOR FOOTBALL FIELD (Forward FY27E Basis):</t>
  </si>
  <si>
    <t>Low (14.0x FY27E)</t>
  </si>
  <si>
    <t>High (20.0x FY27E)</t>
  </si>
  <si>
    <t>Note: GS fairness opinion did not include a CCA. Multiples shown are for independent reference only.</t>
  </si>
  <si>
    <t>Note: PitchBook TTM EBITDA of $2,784M includes stock-based comp add-back per PitchBook methodology.</t>
  </si>
  <si>
    <t>Note: TTWO EV/EBITDA 55.5x reflects FY25 GAAP distortion from pre-GTA VI launch cycle. Ex-TTWO median/mean shown in rows 30, 33.</t>
  </si>
  <si>
    <t>PRECEDENT TRANSACTION ANALYSIS — INDEPENDENT REFERENCE ANALYSIS</t>
  </si>
  <si>
    <t>Sources: Press releases, 8-Ks, SEC filings | NOTE: Goldman Sachs did NOT perform a Selected Transactions Analysis in its fairness opinion.</t>
  </si>
  <si>
    <t>Note: Goldman Sachs did not perform a Selected Transactions Analysis in its fairness opinion (DEFM14A pp. 41-55). This analysis is independent reference only.</t>
  </si>
  <si>
    <t>Ann. Date</t>
  </si>
  <si>
    <t>Acquirer</t>
  </si>
  <si>
    <t>Target</t>
  </si>
  <si>
    <t>EV ($mm)</t>
  </si>
  <si>
    <t>LTM Rev ($mm)</t>
  </si>
  <si>
    <t>LTM EBITDA ($mm)</t>
  </si>
  <si>
    <t>EV/Rev</t>
  </si>
  <si>
    <t>Premium</t>
  </si>
  <si>
    <t>Type</t>
  </si>
  <si>
    <t>Sep 2025</t>
  </si>
  <si>
    <t>PIF/Silver Lake/Affinity</t>
  </si>
  <si>
    <t>Electronic Arts (REFERENCE)</t>
  </si>
  <si>
    <t>Take-Private LBO</t>
  </si>
  <si>
    <t>Jan 18, 2022</t>
  </si>
  <si>
    <t>Microsoft</t>
  </si>
  <si>
    <t>Activision Blizzard</t>
  </si>
  <si>
    <t>Strategic Acq.</t>
  </si>
  <si>
    <t>Jan 10, 2022</t>
  </si>
  <si>
    <t>Zynga</t>
  </si>
  <si>
    <t>Jan 31, 2022</t>
  </si>
  <si>
    <t>Sony Interactive</t>
  </si>
  <si>
    <t>Bungie</t>
  </si>
  <si>
    <t>N/A (private)</t>
  </si>
  <si>
    <t>Feb 8, 2021</t>
  </si>
  <si>
    <t>Electronic Arts</t>
  </si>
  <si>
    <t>Glu Mobile</t>
  </si>
  <si>
    <t>Jun 23, 2021</t>
  </si>
  <si>
    <t>Playdemic (from AT&amp;T)</t>
  </si>
  <si>
    <t>Jun 21, 2016</t>
  </si>
  <si>
    <t>Tencent consortium</t>
  </si>
  <si>
    <t>Supercell</t>
  </si>
  <si>
    <t>Sep 21, 2020</t>
  </si>
  <si>
    <t>ZeniMax/Bethesda</t>
  </si>
  <si>
    <t>Jul 3, 2024</t>
  </si>
  <si>
    <t>EQT consortium</t>
  </si>
  <si>
    <t>Keywords Studios</t>
  </si>
  <si>
    <t>Take-Private</t>
  </si>
  <si>
    <t>Mean (excl. EA)</t>
  </si>
  <si>
    <t>Median (excl. EA)</t>
  </si>
  <si>
    <t>Mean (excl. EA &amp; Bethesda)</t>
  </si>
  <si>
    <t>Median (excl. EA &amp; Bethesda)</t>
  </si>
  <si>
    <t>EA IMPLIED VALUATION FROM PTA (LTM-based)</t>
  </si>
  <si>
    <t>EA LTM Adj EBITDA (through 9/30/25)</t>
  </si>
  <si>
    <t>ILLUSTRATIVE: FY25 $2,084 + Q1+Q2 FY26 − Q1+Q2 FY25</t>
  </si>
  <si>
    <t>Cash+STI $2,248 − Funded Debt $1,884 (FY25 10-K)</t>
  </si>
  <si>
    <t>DEFA14A basis</t>
  </si>
  <si>
    <t>Median (ex-EA)</t>
  </si>
  <si>
    <t>Median (ex-EA &amp; Beth)</t>
  </si>
  <si>
    <t>Mean (ex-EA &amp; Beth)</t>
  </si>
  <si>
    <t>22.0x</t>
  </si>
  <si>
    <t>Multiple Value</t>
  </si>
  <si>
    <t>EA IMPLIED VALUATION FROM PTA (Forward FY27E-based)</t>
  </si>
  <si>
    <t>EA FY27E Adj EBITDA (per DEFA14A)</t>
  </si>
  <si>
    <t>16.0x (Low)</t>
  </si>
  <si>
    <t>18.0x (Mid)</t>
  </si>
  <si>
    <t>20.0x (High)</t>
  </si>
  <si>
    <t>22.0x (Peak)</t>
  </si>
  <si>
    <t>PTA RANGE FOR FOOTBALL FIELD (Forward FY27E, 16.0x - 20.0x):</t>
  </si>
  <si>
    <t>Low (16.0x FY27E)</t>
  </si>
  <si>
    <t>Note: Private targets (Bungie, Playdemic, ZeniMax) have estimated financials (highlighted yellow).</t>
  </si>
  <si>
    <t>Note: Goldman Sachs did NOT perform a Selected Transactions Analysis. See DEFM14A p. 41-55.</t>
  </si>
  <si>
    <t>PREMIA PAID ANALYSIS — FROM GOLDMAN SACHS FAIRNESS OPINION</t>
  </si>
  <si>
    <t>Source: DEFA14A filed 12/15/2025 (supplemental to DEFM14A) | SEC EDGAR | All data per Goldman Sachs / FactSet</t>
  </si>
  <si>
    <t>ANALYSIS 1: PREMIUM TO LAST UNDISTURBED CLOSING PRICE</t>
  </si>
  <si>
    <t>Universe: All-cash acquisitions of U.S. public targets with EV &gt;= $5B, July 2015 - Sept 2025 (179 transactions)</t>
  </si>
  <si>
    <t>Source: FactSet as of September 25, 2025, per Goldman Sachs DEFA14A filing</t>
  </si>
  <si>
    <t>Year</t>
  </si>
  <si>
    <t># of Transactions</t>
  </si>
  <si>
    <t>Median Premium</t>
  </si>
  <si>
    <t>Overall Period (179 txns)</t>
  </si>
  <si>
    <t>25th Percentile Premium</t>
  </si>
  <si>
    <t>Per Goldman Sachs / FactSet (DEFA14A)</t>
  </si>
  <si>
    <t>75th Percentile Premium</t>
  </si>
  <si>
    <t>IMPLIED EQUITY VALUE PER SHARE — UNDISTURBED PRICE BASIS</t>
  </si>
  <si>
    <t>EA Unaffected Share Price (9/25/2025)</t>
  </si>
  <si>
    <t>Source: DEFA14A p.1</t>
  </si>
  <si>
    <t>25th Pctl (20%)</t>
  </si>
  <si>
    <t>Median (32%)</t>
  </si>
  <si>
    <t>75th Pctl (51%)</t>
  </si>
  <si>
    <t>Premium Applied</t>
  </si>
  <si>
    <t>to</t>
  </si>
  <si>
    <t>ANALYSIS 2: PREMIUM TO 52-WEEK HIGH CLOSING PRICE</t>
  </si>
  <si>
    <t>Universe: All-cash acquisitions of U.S. public targets with EV &gt;= $500M, Jan 2019 - Sept 2025 (~480 transactions)</t>
  </si>
  <si>
    <t>EA 52-Week High Closing Price (8/14/2025)</t>
  </si>
  <si>
    <t>25th Pctl (-9%)</t>
  </si>
  <si>
    <t>Median (6%)</t>
  </si>
  <si>
    <t>75th Pctl (22%)</t>
  </si>
  <si>
    <t>LEVERAGED BUYOUT MODEL — ELECTRONIC ARTS INC.</t>
  </si>
  <si>
    <t>Deal: PIF / Silver Lake / Affinity | $55B EV | $210/share | Sources: DEFM14A, DEFA14A, Merger Agreement</t>
  </si>
  <si>
    <t>SOURCES &amp; USES OF FUNDS ($mm)</t>
  </si>
  <si>
    <t>Sources</t>
  </si>
  <si>
    <t>% Total</t>
  </si>
  <si>
    <t>Uses</t>
  </si>
  <si>
    <t>PIF Rollover (9.9% existing stake)</t>
  </si>
  <si>
    <t>CONFIRMED: DEFM14A p.2 — 24.76M sh × $210</t>
  </si>
  <si>
    <t>Equity Purchase (250.1M × $210)</t>
  </si>
  <si>
    <t>Sponsor New Cash Equity (aggregate)</t>
  </si>
  <si>
    <t>DERIVED: $36,400 aggregate − $5,199 rollover; individual sponsor splits NOT disclosed</t>
  </si>
  <si>
    <t>Cash-out Vested Options + RSU (est.)</t>
  </si>
  <si>
    <t xml:space="preserve">  Subtotal Equity Financing</t>
  </si>
  <si>
    <t>CONFIRMED aggregate $36.4B — DEFM14A</t>
  </si>
  <si>
    <t>Refinance 2031 + 2051 Senior Notes (face)</t>
  </si>
  <si>
    <t>JPMorgan Debt Funded at Close</t>
  </si>
  <si>
    <t>CONFIRMED: DEFM14A $20B committed, $18B funded at close</t>
  </si>
  <si>
    <t xml:space="preserve">  + Tender early-payment &amp; accrued interest</t>
  </si>
  <si>
    <t>EA Balance-Sheet Cash Contribution</t>
  </si>
  <si>
    <t>ILLUSTRATIVE: explains $20B / $18B gap per CreditSights</t>
  </si>
  <si>
    <t>Debt Financing Fees + OID (est. per Bloomberg)</t>
  </si>
  <si>
    <t>Advisor &amp; Transaction Fees (GS $110M + other ~$305M)</t>
  </si>
  <si>
    <t>Total Sources</t>
  </si>
  <si>
    <t>Total Uses</t>
  </si>
  <si>
    <t>Sources - Uses (should balance to ~$0):</t>
  </si>
  <si>
    <t>Note: Items highlighted YELLOW are illustrative (not disclosed in DEFM14A).</t>
  </si>
  <si>
    <t>OPERATING MODEL &amp; DEBT SCHEDULE ($mm) — LBO Close ~June 2026 (Start of FY27E = Y1)</t>
  </si>
  <si>
    <t>EBITDA (GS Adj Definition)</t>
  </si>
  <si>
    <t>(+) D&amp;A</t>
  </si>
  <si>
    <t>(-) CapEx (implied from GS)</t>
  </si>
  <si>
    <t>(+/-) NWC Change</t>
  </si>
  <si>
    <t>(-) SBC</t>
  </si>
  <si>
    <t>DEBT SCHEDULE</t>
  </si>
  <si>
    <t>Beginning Total Debt</t>
  </si>
  <si>
    <t>Pre-Close (N/A)</t>
  </si>
  <si>
    <t>(-) Mandatory Amortization</t>
  </si>
  <si>
    <t>(-) Optional Prepayment</t>
  </si>
  <si>
    <t>Ending Total Debt</t>
  </si>
  <si>
    <t>Blended Interest Rate (PitchBook wtd avg)</t>
  </si>
  <si>
    <t>Interest Expense</t>
  </si>
  <si>
    <t>Note: LBO debt schedule begins FY27E (= Year 1 post-close June 2026). FY26E is pre-close; UFCF accrues to public EA shareholders.</t>
  </si>
  <si>
    <t>CREDIT METRICS</t>
  </si>
  <si>
    <t>Total Debt / EBITDA</t>
  </si>
  <si>
    <t>EBITDA / Interest (Coverage)</t>
  </si>
  <si>
    <t>RETURNS ANALYSIS — 5-YEAR HOLD (Y1=FY27E Apr-26 to Mar-27; Y5=FY31E exit Mar-31)</t>
  </si>
  <si>
    <t>Entry Equity ($mm)</t>
  </si>
  <si>
    <t>Source: Equity Commitment Letters</t>
  </si>
  <si>
    <t>Exit Year EBITDA ($mm, FY2031E)</t>
  </si>
  <si>
    <t>Source: GS Mgmt Forecasts</t>
  </si>
  <si>
    <t>Exit Multiple Sensitivity</t>
  </si>
  <si>
    <t>Exit Enterprise Value</t>
  </si>
  <si>
    <t>(-) Ending Debt (FY2031)</t>
  </si>
  <si>
    <t>Exit Equity Value</t>
  </si>
  <si>
    <t>MOIC</t>
  </si>
  <si>
    <t>Gross IRR (5-Year)</t>
  </si>
  <si>
    <t>DETAILED DEBT STRUCTURE — ILLUSTRATIVE (Source: market convention per PitchBook)</t>
  </si>
  <si>
    <t>Note: DEFM14A p.5 discloses aggregate $20B commitment / $18B funded at close. Specific tranche sizes, spreads, and yields below are estimates per market convention.</t>
  </si>
  <si>
    <t>Tranche</t>
  </si>
  <si>
    <t>Term (Yrs)</t>
  </si>
  <si>
    <t>Maturity</t>
  </si>
  <si>
    <t>Rate/Spread</t>
  </si>
  <si>
    <t>Yield</t>
  </si>
  <si>
    <t>Lead Arranger</t>
  </si>
  <si>
    <t>1. Revolving Credit</t>
  </si>
  <si>
    <t>SOFR + 275</t>
  </si>
  <si>
    <t>JP Morgan Chase</t>
  </si>
  <si>
    <t>2. Term Loan B (EUR)</t>
  </si>
  <si>
    <t>EURIBOR + 350</t>
  </si>
  <si>
    <t>6.05%</t>
  </si>
  <si>
    <t>3. Term Loan A</t>
  </si>
  <si>
    <t>4. Term Loan B (USD)</t>
  </si>
  <si>
    <t>SOFR + 350</t>
  </si>
  <si>
    <t>7.67%</t>
  </si>
  <si>
    <t>5. Senior Notes</t>
  </si>
  <si>
    <t>01-Jul-2033</t>
  </si>
  <si>
    <t>6.25%</t>
  </si>
  <si>
    <t>6. Senior Notes</t>
  </si>
  <si>
    <t>7.25%</t>
  </si>
  <si>
    <t>7. Senior Notes</t>
  </si>
  <si>
    <t>01-Jul-2034</t>
  </si>
  <si>
    <t>8.75%</t>
  </si>
  <si>
    <t>Total Committed Debt</t>
  </si>
  <si>
    <t>Note: TLB USD and EUR priced at 98.50 (OID). Revolver typically undrawn at close.</t>
  </si>
  <si>
    <t>Funded debt at close ≈ $18,010M (excl. revolver). All tranches led by JP Morgan Chase, 20 lenders each.</t>
  </si>
  <si>
    <t>Weighted average cost of debt: 7.307% (computed: TLA 6.75% + TLB USD 7.67% + TLB EUR 6.05% + SrNotes 6.25%/7.25%/8.75%)</t>
  </si>
  <si>
    <t>PITCHBOOK REFERENCE DATA (for cross-check only)</t>
  </si>
  <si>
    <t>PB Pro Forma Revenue (Reported)</t>
  </si>
  <si>
    <t>PitchBook Deal Summary</t>
  </si>
  <si>
    <t>PB Pro Forma EBITDA (Reported)</t>
  </si>
  <si>
    <t>PitchBook Deal Summary (likely includes adjustments beyond SBC)</t>
  </si>
  <si>
    <t>PB Implied Enterprise Value</t>
  </si>
  <si>
    <t>PitchBook calc (differs from deal headline of ~$55B)</t>
  </si>
  <si>
    <t>PB Implied EV / EBITDA (TTM Jun 2025)</t>
  </si>
  <si>
    <t>PitchBook (based on TTM Jun 2025 EBITDA of $1,787M)</t>
  </si>
  <si>
    <t>PB Deal Size / EBITDA (TTM)</t>
  </si>
  <si>
    <t>PitchBook ($55B / TTM EBITDA $1,787M)</t>
  </si>
  <si>
    <t>LBO AFFORDABILITY ANALYSIS — Entry Price at 20% IRR Target</t>
  </si>
  <si>
    <t>Methodology: Solve for entry equity such that 5-year IRR = 20% at given exit multiple</t>
  </si>
  <si>
    <t>Target IRR</t>
  </si>
  <si>
    <t>Hold Period (years)</t>
  </si>
  <si>
    <t>Required MOIC</t>
  </si>
  <si>
    <t>FY31E Exit EBITDA</t>
  </si>
  <si>
    <t>Y5 Ending Debt</t>
  </si>
  <si>
    <t>Funded Debt at Close</t>
  </si>
  <si>
    <t>Exit Multiple</t>
  </si>
  <si>
    <t>Exit EV</t>
  </si>
  <si>
    <t>(-) Y5 Net Debt</t>
  </si>
  <si>
    <t>Required Entry Equity (at 20% IRR)</t>
  </si>
  <si>
    <t>Required Entry EV (= Equity + Debt)</t>
  </si>
  <si>
    <t>Implied Entry Price per Share</t>
  </si>
  <si>
    <t>LBO AFFORDABILITY RANGE (16.0x - 20.0x exit, 20% IRR):</t>
  </si>
  <si>
    <t>Low (16.0x exit)</t>
  </si>
  <si>
    <t>High (20.0x exit)</t>
  </si>
  <si>
    <t>METHODOLOGY NOTES</t>
  </si>
  <si>
    <t>Entry Equity Basis:</t>
  </si>
  <si>
    <t>Exit Net Debt Assumption:</t>
  </si>
  <si>
    <t>Exit Equity = Exit EV − Funded Debt. Assumes 100% excess FCF sweep (minimal retained cash at exit).</t>
  </si>
  <si>
    <t>Interest Expense Method:</t>
  </si>
  <si>
    <t>VALUATION FOOTBALL FIELD — IMPLIED EQUITY VALUE PER SHARE</t>
  </si>
  <si>
    <t>Offer Price: $210.00/share | Goldman Sachs Fairness Opinion (primary) + Independent Reference Analyses (supplementary)</t>
  </si>
  <si>
    <t>GOLDMAN SACHS FAIRNESS OPINION (PRIMARY) — per DEFM14A / DEFA14A</t>
  </si>
  <si>
    <t>Methodology</t>
  </si>
  <si>
    <t>Low ($)</t>
  </si>
  <si>
    <t>High ($)</t>
  </si>
  <si>
    <t>Midpoint ($)</t>
  </si>
  <si>
    <t>Offer ($210)</t>
  </si>
  <si>
    <t>Source / Notes</t>
  </si>
  <si>
    <t>52-Week Trading Range (pre-deal)</t>
  </si>
  <si>
    <t>DEFA14A: Low $116.53 (52-wk close); High $179.01 (8/14/2025 close)</t>
  </si>
  <si>
    <t>Illustrative DCF</t>
  </si>
  <si>
    <t>DEFA14A p.1 (Goldman Sachs DCF analysis)</t>
  </si>
  <si>
    <t>Illustrative Future Share Price</t>
  </si>
  <si>
    <t>DEFA14A p.2 (14x-16x EV/NTM Adj EBITDA, PV @ 8.5%)</t>
  </si>
  <si>
    <t>Premia Paid — vs. Unaffected ($168.32)</t>
  </si>
  <si>
    <t>DEFA14A: 179 $5B+ US deals 2015-25, 20%-51% band applied to $168.32</t>
  </si>
  <si>
    <t>Premia Paid — vs. 52-Wk High ($179.01)</t>
  </si>
  <si>
    <t>DEFA14A: ~480 $500M+ US deals 2019-25, -9% to +22% band applied to $179.01</t>
  </si>
  <si>
    <t>INDEPENDENT REFERENCE ANALYSES (NOT PART OF GOLDMAN FAIRNESS OPINION)</t>
  </si>
  <si>
    <t>CCA (EV/EBITDA, applied to FY27E)</t>
  </si>
  <si>
    <t>CCA Tab — 14.0x-20.0x applied to FY27E $3,003M EBITDA</t>
  </si>
  <si>
    <t>Precedent Transactions (EV/EBITDA, FY27E)</t>
  </si>
  <si>
    <t>PTA Tab — 16.0x-20.0x applied to FY27E $3,003M EBITDA</t>
  </si>
  <si>
    <t>LBO Affordability (20% IRR, 16x-20x exit)</t>
  </si>
  <si>
    <t>LBO Tab — Solve for entry price at 20% sponsor IRR target</t>
  </si>
  <si>
    <t>OFFER PRICE SUMMARY</t>
  </si>
  <si>
    <t>Premium to Unaffected ($168.32)</t>
  </si>
  <si>
    <t>Premium to 52-Wk High ($179.01)</t>
  </si>
  <si>
    <t>Premium to 52-Wk Low ($116.53)</t>
  </si>
  <si>
    <t>Enterprise Value</t>
  </si>
  <si>
    <t>~$55 billion</t>
  </si>
  <si>
    <t>Goldman Sachs Fairness Opinion: "$210 per share is fair from a financial point of view" (delivered September 28, 2025)</t>
  </si>
  <si>
    <t>WHERE DOES $210 FALL?</t>
  </si>
  <si>
    <t>Range</t>
  </si>
  <si>
    <t>$210 Placement</t>
  </si>
  <si>
    <t>52-Week Trading Range</t>
  </si>
  <si>
    <t>$116.53 - $179.01</t>
  </si>
  <si>
    <t>$210 above high by 17.3%</t>
  </si>
  <si>
    <t>$210 at 96th percentile (near top)</t>
  </si>
  <si>
    <t>$210 at 67th percentile (upper third)</t>
  </si>
  <si>
    <t>Premia Paid — Unaffected</t>
  </si>
  <si>
    <t>$203 - $255</t>
  </si>
  <si>
    <t>$210 at 13th percentile (near low)</t>
  </si>
  <si>
    <t>Premia Paid — 52-Wk High</t>
  </si>
  <si>
    <t>$163 - $218</t>
  </si>
  <si>
    <t>$210 at 85th percentile (upper third)</t>
  </si>
  <si>
    <t>CCA (FY27E EBITDA)</t>
  </si>
  <si>
    <t>See formulas</t>
  </si>
  <si>
    <t>PTA (FY27E EBITDA)</t>
  </si>
  <si>
    <t>LBO Affordability (20% IRR)</t>
  </si>
  <si>
    <t>$210 typically above affordability range</t>
  </si>
  <si>
    <t>Note: Chart data is in the 'Chart Data' tab.</t>
  </si>
  <si>
    <t>METHODOLOGY RATIONALE — WHY THESE FOUR ANALYSES?</t>
  </si>
  <si>
    <t>The football field above triangulates EA's implied per-share value through four standard valuation lenses: market-based (CCA), transaction-based (PTA), intrinsic-value (DCF), and sponsor-economics (LBO Affordability). Together these capture public-market trading multiples, recent gaming M&amp;A precedent, fundamental cash-flow value, and the price at which a financial buyer can earn their hurdle return. Convergence across all four around the offer price ($210/share) is evidence that the deal is fairly priced; divergence flags where defenders and challengers will focus.</t>
  </si>
  <si>
    <t>Why this analysis?</t>
  </si>
  <si>
    <t>Why these specific metrics?</t>
  </si>
  <si>
    <t>Comparable Companies (CCA)</t>
  </si>
  <si>
    <t>Captures how the public market values comparable gaming and interactive-entertainment businesses today. Sets a floor reference for what a trading-multiple-based investor would pay; differences from the offer price reflect either control premium or peer-set distortion.</t>
  </si>
  <si>
    <t>EV/EBITDA, 14.0x – 20.0x applied to FY27E. EV/EBITDA is the gaming-industry standard because it is capital-structure-neutral and normalizes D&amp;A differences across peers (vs. P/E or EV/Revenue). Forward FY27E is used because EA's LTM EBITDA is depressed by the gap-year before Battlefield 6 launch — applying peer multiples to a trough-year EBITDA would understate value. The 14x – 20x range reflects the gaming peer set (TTWO, RBLX, NTES, etc.) excluding TTWO's pre-GTA-VI outlier multiple.</t>
  </si>
  <si>
    <t>Precedent Transactions (PTA)</t>
  </si>
  <si>
    <t>Anchors valuation in what acquirers have actually paid for gaming companies in recent M&amp;A. Captures control premium and strategic-buyer willingness-to-pay that public-market comps cannot. Sets a benchmark for what a competing bidder would have offered.</t>
  </si>
  <si>
    <t>EV/EBITDA, 16.0x – 20.0x applied to FY27E. Same EV/EBITDA rationale as CCA. Forward FY27E because gaming M&amp;A bidders (Microsoft–Activision, Take-Two–Zynga, Carlyle–Jagex, Keywords–EQT, Bungie–Sony) underwrote based on synergized forward earnings rather than depressed LTM. The 16x – 20x range reflects the actual multiple range paid in recent large-cap gaming M&amp;A.</t>
  </si>
  <si>
    <t>Discounted Cash Flow (DCF)</t>
  </si>
  <si>
    <t>Provides intrinsic-value anchor independent of market sentiment or M&amp;A-cycle timing. This is the only fairness-opinion methodology Goldman Sachs performed for EA (per DEFM14A); the disclosed range is therefore the most authoritative single valuation reference.</t>
  </si>
  <si>
    <t>7.5% – 9.5% WACC, 2.0% – 3.0% perpetuity growth rate. These are Goldman's disclosed assumptions (DEFA14A p.43). The WACC range reflects EA's CAPM-derived cost of capital with reasonable equity-risk-premium and beta sensitivity; the TGR range matches long-run software/interactive-entertainment industry growth expectations. Output range $137–$220 is reproduced in the DCF tab from these inputs.</t>
  </si>
  <si>
    <t>LBO Affordability</t>
  </si>
  <si>
    <t>Tests the deal from the financial sponsor's perspective: at what entry price can a PE buyer earn their target IRR over a standard hold period? This is the discipline that constrains LBO bids — sponsors cannot pay above their affordability range without sacrificing returns or relying on aggressive operating assumptions.</t>
  </si>
  <si>
    <t>20% IRR target over a 5-year hold (Y1=FY27 through Y5=FY31), with exit at 16.0x – 20.0x EBITDA. 20% IRR is the standard large-cap PE sponsor hurdle. The 16x – 20x exit range aligns with the PTA range — sponsors expect to exit at multiples consistent with recent precedent. The analysis solves for the maximum entry price the sponsor can pay while still meeting the IRR hurdle, generating the affordability range $163.53 – $191.50.</t>
  </si>
  <si>
    <t>WHAT IS NOT IN THIS FOOTBALL FIELD AND WHY</t>
  </si>
  <si>
    <t>We deliberately exclude the 52-Week Trading Range (a price-history reference, not a valuation methodology), the Premia Paid analysis (a band applied to a single anchor price, not a range of intrinsic values), and Goldman's Future Share Price analysis (a forward-trading-multiple analysis that overlaps in framework with CCA). These are presented separately in the data tables above for completeness but are not appropriate inputs to a four-lens triangulation.</t>
  </si>
  <si>
    <t>WHY IMPLIED EQUITY VALUE PER SHARE (NOT ENTERPRISE VALUE)</t>
  </si>
  <si>
    <t>We present each valuation range as implied equity value per share rather than enterprise value because EA is a publicly traded target with a $210/share offer price. Per-share denomination allows direct comparison between every methodology and the offer price, which is the central question of the fairness analysis. Each range is constructed by computing implied EV from its respective methodology, then bridging to per-share equity value by subtracting net debt ($1,884M total funded debt − $2,248M cash &amp; STI = $364M net cash position) and dividing by 258.7M diluted shares (per DEFM14A). Goldman Sachs presents its disclosed valuation ranges (DCF $137-$220, Future Share Price $157-$236) on the same per-share basis in DEFA14A, ensuring our reconstructions are directly comparable to their fairness-opinion outputs. For private targets without a public share count (e.g., a sponsor-to-sponsor secondary like Jagex), enterprise value is the appropriate denomination — but for public take-private deals such as this one, per-share equity value is the standard and most decision-relevant convention.</t>
  </si>
  <si>
    <t>FOOTBALL FIELD CHART DATA</t>
  </si>
  <si>
    <t>Data structured for stacked bar chart | Goldman Opinion analyses + Independent Reference</t>
  </si>
  <si>
    <t>Invisible Base</t>
  </si>
  <si>
    <t>Range (High - Low)</t>
  </si>
  <si>
    <t>Group</t>
  </si>
  <si>
    <t>52-Wk Trading Range</t>
  </si>
  <si>
    <t>Goldman Opinion</t>
  </si>
  <si>
    <t>Future Share Price</t>
  </si>
  <si>
    <t>DCF (Goldman)</t>
  </si>
  <si>
    <t>CCA (FY27E basis)</t>
  </si>
  <si>
    <t>Independent Reference</t>
  </si>
  <si>
    <t>Precedent Transactions (FY27E)</t>
  </si>
  <si>
    <t>LBO analysis (20% IRR at 16x – 20x exit)</t>
  </si>
  <si>
    <t>Discounted cash flow (7.5% – 9.5% WACC)</t>
  </si>
  <si>
    <t>Precedent transactions (EV / FY27E EBITDA)</t>
  </si>
  <si>
    <t>Comparable companies (EV / FY27E EBITDA)</t>
  </si>
  <si>
    <t>PRIMARY SOURCES &amp; BIBLIOGRAPHY</t>
  </si>
  <si>
    <t>Every numerical input in this model traces to one of the sources below. Sources are organized by category. Direct quotations and SEC filings are authoritative; market-data sources (PitchBook, Bloomberg) are secondary. Retrieval dates are documented where relevant.</t>
  </si>
  <si>
    <t>#</t>
  </si>
  <si>
    <t>Source / Document</t>
  </si>
  <si>
    <t>Date</t>
  </si>
  <si>
    <t>URL / Citation Detail</t>
  </si>
  <si>
    <t>Used in (Tabs)</t>
  </si>
  <si>
    <t>Key Data Points Sourced</t>
  </si>
  <si>
    <t>SEC FILINGS — TRANSACTION DOCUMENTS</t>
  </si>
  <si>
    <t>Form 8-K — Transaction Announcement</t>
  </si>
  <si>
    <t>8-K</t>
  </si>
  <si>
    <t>Sept 29, 2025</t>
  </si>
  <si>
    <t>https://www.sec.gov/cgi-bin/browse-edgar?action=getcompany&amp;CIK=0000712515&amp;type=8-K</t>
  </si>
  <si>
    <t>Deal Summary</t>
  </si>
  <si>
    <t>Transaction announcement; offer price $210/share; merger agreement details</t>
  </si>
  <si>
    <t>Definitive Merger Proxy Statement (DEFM14A)</t>
  </si>
  <si>
    <t>Nov 20, 2025</t>
  </si>
  <si>
    <t>https://www.sec.gov/cgi-bin/browse-edgar?action=getcompany&amp;CIK=0000712515&amp;type=DEF</t>
  </si>
  <si>
    <t>All valuation tabs; LBO Model</t>
  </si>
  <si>
    <t>Diluted share count (258.7M); $36.4B equity commitment; $20B debt commitment; advisor fees; PIF rollover (24.76M shares)</t>
  </si>
  <si>
    <t>Supplemental Proxy Disclosure (DEFA14A)</t>
  </si>
  <si>
    <t>DEFA14A</t>
  </si>
  <si>
    <t>Dec 15, 2025</t>
  </si>
  <si>
    <t>https://www.sec.gov/cgi-bin/browse-edgar?action=getcompany&amp;CIK=0000712515&amp;type=DEFA14A</t>
  </si>
  <si>
    <t>DCF; Future Share Price; Premia Paid; Football Field</t>
  </si>
  <si>
    <t>DCF range $137-$220; Future Share Price range $157-$236; Premia Paid analyses (Variant A/B); 52-week price reference points</t>
  </si>
  <si>
    <t>Merger Agreement (Exhibit 2.1 to 8-K)</t>
  </si>
  <si>
    <t>Merger Agt</t>
  </si>
  <si>
    <t>Deal Summary; LBO Model</t>
  </si>
  <si>
    <t>Section 2.1 (offer price); Section 8.1(b) (outside date Sept 28, 2026); termination fees</t>
  </si>
  <si>
    <t>SEC FILINGS — EA OPERATING &amp; FINANCIAL DATA</t>
  </si>
  <si>
    <t>Form 10-K (Annual Report, FY2025)</t>
  </si>
  <si>
    <t>May 2025</t>
  </si>
  <si>
    <t>https://www.sec.gov/cgi-bin/browse-edgar?action=getcompany&amp;CIK=0000712515&amp;type=10-K</t>
  </si>
  <si>
    <t>EA Historicals; EV Bridge; DCF</t>
  </si>
  <si>
    <t>FY25 revenue $7,463M; OpInc $1,520M; EBITDA $1,876M; Adj EBITDA $2,575M; Net Bookings; Balance Sheet; Cash Flow Statement; Total Funded Debt $1,884M; Cash &amp; STI $2,248M</t>
  </si>
  <si>
    <t>Form 10-K (Prior Year, FY2024)</t>
  </si>
  <si>
    <t>May 2024</t>
  </si>
  <si>
    <t>EA Historicals</t>
  </si>
  <si>
    <t>FY22-FY24 historical revenue, EBITDA, OpInc, balance sheet items; 5-year financial trends</t>
  </si>
  <si>
    <t>Form 10-Q (Q2 FY2026)</t>
  </si>
  <si>
    <t>10-Q</t>
  </si>
  <si>
    <t>Oct 28, 2025</t>
  </si>
  <si>
    <t>https://www.sec.gov/cgi-bin/browse-edgar?action=getcompany&amp;CIK=0000712515&amp;type=10-Q</t>
  </si>
  <si>
    <t>EA Historicals (LTM section); EV Bridge</t>
  </si>
  <si>
    <t>TTM through 9/30/25; Q1+Q2 FY26 results; LTM Net Revenue/Bookings; LTM Adj EBITDA derivation</t>
  </si>
  <si>
    <t>EA FY25 Earnings Press Release &amp; Investor Presentation</t>
  </si>
  <si>
    <t>Press Release</t>
  </si>
  <si>
    <t>https://ir.ea.com/financial-information/quarterly-results</t>
  </si>
  <si>
    <t>FY25 results announcement; Adj EBITDA reconciliation; segment-level net bookings</t>
  </si>
  <si>
    <t>GOLDMAN SACHS FAIRNESS OPINION &amp; SUPPORTING ANALYSES</t>
  </si>
  <si>
    <t>Goldman Sachs Fairness Opinion (DEFM14A Exhibit)</t>
  </si>
  <si>
    <t>Fairness Opinion</t>
  </si>
  <si>
    <t>Sept 28, 2025</t>
  </si>
  <si>
    <t>See DEFM14A pp.41-55</t>
  </si>
  <si>
    <t>DCF; Future Share Price; Premia Paid; Deal Summary</t>
  </si>
  <si>
    <t>Fairness opinion language; methodology disclosure; key valuation outputs ($137-$220 DCF; $157-$236 FSP)</t>
  </si>
  <si>
    <t>Goldman Sachs DCF Analysis Detail</t>
  </si>
  <si>
    <t>DCF</t>
  </si>
  <si>
    <t>WACC range 7.5%-9.5% (CAPM-based); TGR range 2.0%-3.0%; perpetuity growth method; mid-year discounting; tax asset PV (separate)</t>
  </si>
  <si>
    <t>Goldman Sachs Management Forecasts</t>
  </si>
  <si>
    <t>DCF; Future Share Price; LBO Model; CCA; PTA</t>
  </si>
  <si>
    <t>FY26-FY31 UFCF projections ($1,503M to $2,878M); FY27E EBITDA $3,003M; FY31E EBITDA $4,500M; Tax Asset benefits ($46M-$143M annually)</t>
  </si>
  <si>
    <t>Goldman Sachs Premia Paid Universe</t>
  </si>
  <si>
    <t>DEFA14A pp.1-3</t>
  </si>
  <si>
    <t>Premia Paid; Football Field</t>
  </si>
  <si>
    <t>Variant A: 179 all-cash US deals $5B+ (2015-2025); 25th/Median/75th = 20%/32%/51%. Variant B: ~480 deals $500M+ (2019-2025); -9%/+6%/+22%</t>
  </si>
  <si>
    <t>COMPARABLE COMPANIES (CCA) — PEER MARKET DATA</t>
  </si>
  <si>
    <t>PitchBook Public Comps Set (Gaming)</t>
  </si>
  <si>
    <t>Database</t>
  </si>
  <si>
    <t>Apr 13, 2026</t>
  </si>
  <si>
    <t>PitchBook Comparables Module (subscription)</t>
  </si>
  <si>
    <t>CCA</t>
  </si>
  <si>
    <t>Peer set EV/EBITDA and EV/Revenue multiples: TTWO 55.5x, NTES 12.4x, RBLX 17.3x, EA 21.0x, MSFT (gaming segment), Sony (G&amp;NS)</t>
  </si>
  <si>
    <t>Take-Two Interactive — Form 10-K</t>
  </si>
  <si>
    <t>https://ir.take2games.com/sec-filings</t>
  </si>
  <si>
    <t>TTWO TTM EBITDA (depressed by pre-GTA-VI launch costs; outlier multiple reason)</t>
  </si>
  <si>
    <t>NetEase Inc. — Form 20-F</t>
  </si>
  <si>
    <t>20-F</t>
  </si>
  <si>
    <t>Apr 2025</t>
  </si>
  <si>
    <t>https://ir.netease.com/sec-filings</t>
  </si>
  <si>
    <t>NetEase gaming segment financials; ADR pricing</t>
  </si>
  <si>
    <t>Roblox Corporation — Form 10-K</t>
  </si>
  <si>
    <t>Mar 2025</t>
  </si>
  <si>
    <t>https://ir.roblox.com/sec-filings</t>
  </si>
  <si>
    <t>Roblox EV/Bookings multiple; user-generated content peer reference</t>
  </si>
  <si>
    <t>PRECEDENT TRANSACTIONS (PTA)</t>
  </si>
  <si>
    <t>Microsoft / Activision Blizzard Acquisition</t>
  </si>
  <si>
    <t>Press Release / 8-K</t>
  </si>
  <si>
    <t>https://news.microsoft.com/2022/01/18/microsoft-to-acquire-activision-blizzard/</t>
  </si>
  <si>
    <t>PTA</t>
  </si>
  <si>
    <t>Offer $95.00; ATVI unaffected $65.39 (1/14/22 close); premium 45.3%; EV/LTM EBITDA 19.04x; closed Oct 2023</t>
  </si>
  <si>
    <t>Take-Two Interactive / Zynga Acquisition</t>
  </si>
  <si>
    <t>https://www.take-two.com/news/</t>
  </si>
  <si>
    <t>Offer $9.86 (cash + stock); Zynga unaffected ~$6.02 (1/7/22); premium 64%; EV/LTM EBITDA 24.0x; closed May 2022</t>
  </si>
  <si>
    <t>Electronic Arts / Glu Mobile Acquisition</t>
  </si>
  <si>
    <t>https://www.ea.com/news/electronic-arts-completes-acquisition-of-glu-mobile</t>
  </si>
  <si>
    <t>Offer $12.50 cash; Glu unaffected $9.19 (2/5/21 close); premium 36%; EV/LTM EBITDA 27.6x; closed Apr 2021</t>
  </si>
  <si>
    <t>EQT / Keywords Studios Acquisition</t>
  </si>
  <si>
    <t>Rule 2.7 Announcement (UK Takeover Code)</t>
  </si>
  <si>
    <t>https://www.investegate.co.uk/announcement/keywords-studios</t>
  </si>
  <si>
    <t>Offer £24.50 cash; Keywords unaffected £14.70 (May 17, 2024); premium 66.7%; EV/LTM EBITDA 16.6x; closed Q4 2024</t>
  </si>
  <si>
    <t>Sony / Bungie Acquisition</t>
  </si>
  <si>
    <t>https://www.sie.com/en/corporate/release/2022/220131.html</t>
  </si>
  <si>
    <t>EV $3.6B all-cash; private target (financials estimated); EV/Revenue ~6x; premium N/A (private)</t>
  </si>
  <si>
    <t>Embracer / Crystal Dynamics-Eidos-Square Enix West</t>
  </si>
  <si>
    <t>May 2, 2022</t>
  </si>
  <si>
    <t>https://embracer.com/release/2022/</t>
  </si>
  <si>
    <t>EV $300M divestiture from Square Enix; private/divisional target; reference deal only</t>
  </si>
  <si>
    <t>EA / Playdemic Acquisition</t>
  </si>
  <si>
    <t>https://www.ea.com/news/ea-acquires-playdemic</t>
  </si>
  <si>
    <t>EV $1.4B from Warner Bros.; private target (financials estimated); EV/Revenue ~14x</t>
  </si>
  <si>
    <t>Microsoft / ZeniMax (Bethesda) Acquisition</t>
  </si>
  <si>
    <t>Sept 21, 2020</t>
  </si>
  <si>
    <t>https://news.microsoft.com/2020/09/21/microsoft-to-acquire-zenimax/</t>
  </si>
  <si>
    <t>EV $7.5B all-cash; private target (financials estimated); reference for AAA-studio acquisition multiple</t>
  </si>
  <si>
    <t>DEBT FINANCING &amp; CAPITAL STRUCTURE</t>
  </si>
  <si>
    <t>Bloomberg — Debt Commitment Coverage</t>
  </si>
  <si>
    <t>News (Subscription)</t>
  </si>
  <si>
    <t>Oct 1, 2025</t>
  </si>
  <si>
    <t>Bloomberg Terminal</t>
  </si>
  <si>
    <t>LBO Model; Deal Summary</t>
  </si>
  <si>
    <t>JPMorgan lead arranger; $500M financing fees; $20B committed / $18B funded structure; tranche-level color (illustrative only)</t>
  </si>
  <si>
    <t>Oak-Eagle AcquireCo — Existing Bond Tender Offer</t>
  </si>
  <si>
    <t>Tender Offer Press Release</t>
  </si>
  <si>
    <t>Feb 10, 2026</t>
  </si>
  <si>
    <t>https://www.prnewswire.com/news-releases/oak-eagle-tender-offer/</t>
  </si>
  <si>
    <t>EV Bridge; Deal Summary</t>
  </si>
  <si>
    <t>$1.5B tender for 2031 and 2051 notes; early tender premium $75M; refinancing premium component of EV bridge</t>
  </si>
  <si>
    <t>Financial Times — Debt Syndication Coverage</t>
  </si>
  <si>
    <t>Mar 2026</t>
  </si>
  <si>
    <t>https://www.ft.com</t>
  </si>
  <si>
    <t>$8B bond component launch (March 2026); debt syndication progress; market color on pricing</t>
  </si>
  <si>
    <t>CreditSights / Fitch — EA Issuer Credit Profile</t>
  </si>
  <si>
    <t>Rating Agency Report</t>
  </si>
  <si>
    <t>Oct 2025</t>
  </si>
  <si>
    <t>CreditSights Subscription / Fitch Ratings</t>
  </si>
  <si>
    <t>EV Bridge; LBO Model</t>
  </si>
  <si>
    <t>Pre-LBO credit profile; $20B-$18B commitment-vs-funded gap explanation; $900M EA cash contribution rationale (illustrative)</t>
  </si>
  <si>
    <t>MARKET DATA &amp; PRICING REFERENCES</t>
  </si>
  <si>
    <t>EA Historical Stock Price (NASDAQ: EA)</t>
  </si>
  <si>
    <t>Market Data</t>
  </si>
  <si>
    <t>As of Sept 25, 2025</t>
  </si>
  <si>
    <t>NASDAQ / Bloomberg / Yahoo Finance</t>
  </si>
  <si>
    <t>Deal Summary; Football Field; Premia Paid</t>
  </si>
  <si>
    <t>52-week high $179.01 (8/14/2025 close); 52-week low $116.53; unaffected price $168.32 (last close before deal leak)</t>
  </si>
  <si>
    <t>FactSet — Premia Paid Universe Data</t>
  </si>
  <si>
    <t>Database (referenced via Goldman)</t>
  </si>
  <si>
    <t>Sept 25, 2025</t>
  </si>
  <si>
    <t>FactSet Mergerstat (subscription)</t>
  </si>
  <si>
    <t>Premia Paid</t>
  </si>
  <si>
    <t>Universe of 179 all-cash US public deals $5B+ (2015-2025); ~480 all-cash US public deals $500M+ (2019-2025); percentile bands per Goldman methodology</t>
  </si>
  <si>
    <t>REGULATORY &amp; GOVERNANCE FILINGS</t>
  </si>
  <si>
    <t>Hart-Scott-Rodino (HSR) Filing</t>
  </si>
  <si>
    <t>FTC/DOJ Filing</t>
  </si>
  <si>
    <t>Nov 3, 2025</t>
  </si>
  <si>
    <t>FTC Premerger Notification Office records</t>
  </si>
  <si>
    <t>HSR filing date; waiting period expired Feb 9, 2026 without challenge</t>
  </si>
  <si>
    <t>EA Stockholder Vote Results — Form 8-K</t>
  </si>
  <si>
    <t>Dec 22, 2025</t>
  </si>
  <si>
    <t>Special meeting results; merger agreement approval vote outcome</t>
  </si>
  <si>
    <t>CFIUS Filing &amp; Review</t>
  </si>
  <si>
    <t>Treasury Filing (Confidential)</t>
  </si>
  <si>
    <t>Filed Q4 2025</t>
  </si>
  <si>
    <t>Public confirmation in periodic SEC disclosures</t>
  </si>
  <si>
    <t>CFIUS review status (ongoing as of April 2026 per public disclosures); required given PIF involvement</t>
  </si>
  <si>
    <t>METHODOLOGY &amp; ACADEMIC REFERENCES</t>
  </si>
  <si>
    <t>Damodaran — Cost of Capital Approach</t>
  </si>
  <si>
    <t>Academic Reference</t>
  </si>
  <si>
    <t>2024 Update</t>
  </si>
  <si>
    <t>https://pages.stern.nyu.edu/~adamodar/</t>
  </si>
  <si>
    <t>CAPM methodology; equity risk premium (~5.5%); industry beta references for software/interactive entertainment</t>
  </si>
  <si>
    <t>Rosenbaum &amp; Pearl — Investment Banking</t>
  </si>
  <si>
    <t>Textbook</t>
  </si>
  <si>
    <t>3rd Edition (2020)</t>
  </si>
  <si>
    <t>Wiley Finance</t>
  </si>
  <si>
    <t>CCA; PTA; LBO Model</t>
  </si>
  <si>
    <t>Standard methodology for comparable companies, precedent transactions, and LBO structuring; valuation triangulation framework</t>
  </si>
  <si>
    <t>Pignataro — Leveraged Buyouts</t>
  </si>
  <si>
    <t>2nd Edition (2014)</t>
  </si>
  <si>
    <t>LBO Model</t>
  </si>
  <si>
    <t>LBO modeling methodology; FCF sweep structures; sponsor return analysis; affordability solve methodology</t>
  </si>
  <si>
    <t>NOTES ON SOURCING METHODOLOGY</t>
  </si>
  <si>
    <t>Source Tiers:</t>
  </si>
  <si>
    <t>Tier 1 (definitive): SEC filings, fairness opinion exhibits, official sponsor press releases. Tier 2 (authoritative): rating agency reports, Goldman methodology disclosures. Tier 3 (high-quality secondary): FT, Bloomberg, Reuters. Tier 4 (use with caution): trade press, analyst commentary.</t>
  </si>
  <si>
    <t>Data Confidence Tags:</t>
  </si>
  <si>
    <t>CONFIRMED = traced to primary regulatory filing or official disclosure. DERIVED = computed from confirmed inputs. ILLUSTRATIVE = not disclosed; reasonable assumption flagged in yellow throughout the model. INFERRED = backed into from secondary information with documented derivation.</t>
  </si>
  <si>
    <t>Cross-References:</t>
  </si>
  <si>
    <t>Each tab in this model contains source citations in its source/notes column (Column C, D, F, or G depending on tab layout). This Sources tab is the master bibliography; tab-level citations point back here by source name.</t>
  </si>
  <si>
    <t>Retrieval Dates:</t>
  </si>
  <si>
    <t>Where retrieval date matters (market data, current peer multiples), it is documented above. SEC filings are by filing date. Press releases are by issuance date.</t>
  </si>
  <si>
    <t>Limitations:</t>
  </si>
  <si>
    <t>Sponsor-level equity splits within the $36.4B aggregate equity commitment are not publicly disclosed in DEFM14A. Specific debt tranche sizes within the $20B aggregate commitment are not disclosed; tranche detail in the LBO Model is illustrative per market convention. Goldman's "Adjusted EBITDA" definition differs from our LTM Adj EBITDA computation; both are documented in EA Historicals.</t>
  </si>
  <si>
    <t>IRR × EXIT MULTIPLE SENSITIVITY — IMPLIED ENTRY PRICE PER SHARE ($)</t>
  </si>
  <si>
    <t>IRR \ Exit Multiple</t>
  </si>
  <si>
    <t>Solves for entry price per share that delivers each IRR over 5-year hold (Y1=FY27, Y5=FY31), exit at given EBITDA multiple. Inputs: Y5 ending debt $11,543M, FY31E EBITDA $4,500M, funded debt at close $18,010M, diluted shares 258.7M.</t>
  </si>
  <si>
    <t>Note: Base case (20% IRR / 18.0x exit) highlighted in yellow. $210 offer falls inside affordability only at IRR &lt; ~17% with 18-20x exit, OR ≥ 20% IRR with exit ≥ 22x. Both are demanding — consistent with the deal sitting at the high end of intrinsic-value benchmarks.</t>
  </si>
  <si>
    <t>WACC BUILD — CAPM (RECONSTRUCTION OF GS 7.5%-9.5% RANGE)</t>
  </si>
  <si>
    <t>Note: Goldman Sachs disclosed WACC range 7.5%-9.5% (DEFM14A p.43, CAPM-based). Specific inputs not disclosed; build below reconstructs reasonable bounds using public-source data.</t>
  </si>
  <si>
    <t>Cost of Equity Inputs</t>
  </si>
  <si>
    <t>Low</t>
  </si>
  <si>
    <t>High</t>
  </si>
  <si>
    <t>Source / Note</t>
  </si>
  <si>
    <t>Risk-free Rate (10-Yr UST)</t>
  </si>
  <si>
    <t>10-Yr UST yield ~4.2% as of valuation date 6/30/2025</t>
  </si>
  <si>
    <t>Equity Risk Premium</t>
  </si>
  <si>
    <t>Damodaran 2024 implied ERP ~5.0-6.0% range</t>
  </si>
  <si>
    <t>Levered Beta (Bloomberg, 2-yr weekly)</t>
  </si>
  <si>
    <t>EA Bloomberg historical beta range; gaming peers 0.85-1.10</t>
  </si>
  <si>
    <t>Cost of Equity (CAPM)</t>
  </si>
  <si>
    <t>= Rf + β × ERP</t>
  </si>
  <si>
    <t>Capital Structure Inputs</t>
  </si>
  <si>
    <t>Pre-tax Cost of Debt</t>
  </si>
  <si>
    <t>EA Senior Notes 2026/2031/2051 weighted YTM ~5.5-6.5% pre-deal</t>
  </si>
  <si>
    <t>Marginal Tax Rate</t>
  </si>
  <si>
    <t>US federal corporate rate</t>
  </si>
  <si>
    <t>After-tax Cost of Debt</t>
  </si>
  <si>
    <t>= Kd × (1 − t)</t>
  </si>
  <si>
    <t>Weight of Equity</t>
  </si>
  <si>
    <t>Pre-deal EA: $42B equity / ~$1.9B debt ≈ 95% E. Deal-adjusted closer to 90%.</t>
  </si>
  <si>
    <t>Weight of Debt</t>
  </si>
  <si>
    <t>= 1 − We</t>
  </si>
  <si>
    <t>WACC</t>
  </si>
  <si>
    <t>= Ke×We + Kd(1−t)×Wd</t>
  </si>
  <si>
    <t>GS Disclosed WACC Range</t>
  </si>
  <si>
    <t>Per DEFM14A p.43 — reconciles to our reconstructed range</t>
  </si>
  <si>
    <t>Note: Reconstructed WACC range maps to GS disclosed 7.5%-9.5%. Slight differences reflect undisclosed peer-set construction and weighting choices.</t>
  </si>
  <si>
    <t>RETURNS ATTRIBUTION — VALUE CREATION BRIDGE (Base Case: 18.0x Exit)</t>
  </si>
  <si>
    <t>Decomposes equity value created over 5-year hold into three drivers: EBITDA growth, multiple expansion/(contraction), and debt paydown.</t>
  </si>
  <si>
    <t>Component</t>
  </si>
  <si>
    <t>Calculation</t>
  </si>
  <si>
    <t>Value ($mm)</t>
  </si>
  <si>
    <t>% of Value Created</t>
  </si>
  <si>
    <t>Entry Equity Investment</t>
  </si>
  <si>
    <t>Sponsor + Rollover</t>
  </si>
  <si>
    <t>Entry EBITDA (FY2026E)</t>
  </si>
  <si>
    <t>Entry EV</t>
  </si>
  <si>
    <t>Entry Multiple (EV / Entry EBITDA)</t>
  </si>
  <si>
    <t>Exit EBITDA (FY2031E)</t>
  </si>
  <si>
    <t>Exit Multiple (assumed)</t>
  </si>
  <si>
    <t>(1) EBITDA Growth</t>
  </si>
  <si>
    <t>(Exit EBITDA − Entry EBITDA) × Entry Multiple</t>
  </si>
  <si>
    <t>(2) Multiple Expansion / (Contraction)</t>
  </si>
  <si>
    <t>(Exit Multiple − Entry Multiple) × Exit EBITDA</t>
  </si>
  <si>
    <t>(3) Debt Paydown / Cash Generation</t>
  </si>
  <si>
    <t>Entry Debt − Exit Debt</t>
  </si>
  <si>
    <t>Total Value Created</t>
  </si>
  <si>
    <t>Entry Equity + Total Value Created</t>
  </si>
  <si>
    <t>IRR (5-year)</t>
  </si>
  <si>
    <t>Note: At 18x exit, value creation is overwhelmingly EBITDA growth-driven. Multiple is roughly flat (entry ~19.9x → exit 18.0x is mild contraction). Debt paydown contributes meaningfully but secondary. To clear a 20% IRR hurdle at 18x exit, sponsors need either (a) more EBITDA growth than projected, or (b) accelerated cash sweep to amplify deleveraging. This is consistent with PIF/Silver Lake's reported reliance on operational improvements rather than financial engineering.</t>
  </si>
  <si>
    <t>Data Confidence</t>
  </si>
  <si>
    <t>CONFIRMED</t>
  </si>
  <si>
    <t>DERIVED</t>
  </si>
  <si>
    <t>MARKET DATA</t>
  </si>
  <si>
    <t>REFERENCE</t>
  </si>
  <si>
    <t>Confidence Tier Legend</t>
  </si>
  <si>
    <t>Direct from SEC filing or GS fairness opinion</t>
  </si>
  <si>
    <t>Calculated from confirmed inputs (e.g., GS reconstruction, peer-derived multiples)</t>
  </si>
  <si>
    <t>Bloomberg / PitchBook / FactSet / market price feeds</t>
  </si>
  <si>
    <t>Methodology / academic source (no numeric data sourced)</t>
  </si>
  <si>
    <t>Estimated / not disclosed (rare; flagged in-source on each tab)</t>
  </si>
  <si>
    <t>Entry equity $36,400M treats PIF rollover at $210/share deal basis (24.76M shares × $210 = $5,199M). PIF's actual economic return on rollover will differ based on their historical cost basis (unaffected price ~$168).</t>
  </si>
  <si>
    <t>Interest on BEGINNING debt × 7.307% WACD — conservative simplification to avoid circular reference. Average-debt method would reduce interest ~4-8% in aggressive paydown scenarios but creates circular dependency with 100% FCF sweep.</t>
  </si>
  <si>
    <t>STUDENT RECONSTRUCTION - ILLUSTRATIVE ONLY</t>
  </si>
  <si>
    <t>This file is a graduate coursework reconstruction of a real transaction, built by Mason J. Bennett (M.S. Finance, University of Arkansas) from publicly available filings. It is not affiliated with any party to the actual transaction and is published solely as a work sample. Assumptions diverge from actual deal terms where figures were not public. Not investment advice.</t>
  </si>
  <si>
    <t>masonjbennett.com  |  bennettmasonj@gmail.com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</si>
</sst>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
    <numFmt numFmtId="165" formatCode="0.0%"/>
    <numFmt numFmtId="166" formatCode="\$#,##0&quot;M (9.9% of 250.1M shares × \$210)&quot;"/>
    <numFmt numFmtId="167" formatCode="\$#,##0&quot;M (ILLUSTRATIVE — individual sponsor splits NOT disclosed)&quot;"/>
    <numFmt numFmtId="168" formatCode="0.0\x"/>
    <numFmt numFmtId="169" formatCode="\$#,##0;&quot;($&quot;#,##0\);\-"/>
    <numFmt numFmtId="170" formatCode="\$#,##0"/>
    <numFmt numFmtId="171" formatCode="#,##0.0"/>
    <numFmt numFmtId="172" formatCode="0.0"/>
    <numFmt numFmtId="173" formatCode="&quot;$&quot;#,##0&quot; million&quot;"/>
    <numFmt numFmtId="174" formatCode="&quot;$&quot;#,##0.00"/>
    <numFmt numFmtId="175" formatCode="&quot;$&quot;#,##0"/>
    <numFmt numFmtId="176" formatCode="&quot;$&quot;#,##0;\(&quot;$&quot;#,##0\)"/>
  </numFmts>
  <fonts count="40" x14ac:knownFonts="1">
    <font>
      <sz val="11"/>
      <color theme="1"/>
      <name val="Calibri"/>
      <family val="2"/>
      <charset val="1"/>
    </font>
    <font>
      <b/>
      <sz val="13"/>
      <color rgb="FF1F4E79"/>
      <name val="Arial"/>
      <family val="2"/>
      <charset val="1"/>
    </font>
    <font>
      <b/>
      <sz val="10"/>
      <color rgb="FF000000"/>
      <name val="Arial"/>
      <family val="2"/>
      <charset val="1"/>
    </font>
    <font>
      <sz val="10"/>
      <color rgb="FF000000"/>
      <name val="Arial"/>
      <family val="2"/>
      <charset val="1"/>
    </font>
    <font>
      <sz val="10"/>
      <color rgb="FF0000FF"/>
      <name val="Arial"/>
      <family val="2"/>
      <charset val="1"/>
    </font>
    <font>
      <sz val="8"/>
      <color rgb="FF808080"/>
      <name val="Arial"/>
      <family val="2"/>
      <charset val="1"/>
    </font>
    <font>
      <b/>
      <sz val="10"/>
      <color rgb="FF1F4E79"/>
      <name val="Arial"/>
      <family val="2"/>
      <charset val="1"/>
    </font>
    <font>
      <b/>
      <sz val="10"/>
      <color rgb="FFFFFFFF"/>
      <name val="Arial"/>
      <family val="2"/>
      <charset val="1"/>
    </font>
    <font>
      <b/>
      <sz val="12"/>
      <color rgb="FF1F4E79"/>
      <name val="Arial"/>
      <family val="2"/>
      <charset val="1"/>
    </font>
    <font>
      <sz val="10"/>
      <name val="Arial"/>
      <family val="2"/>
      <charset val="1"/>
    </font>
    <font>
      <sz val="10"/>
      <color theme="1"/>
      <name val="Arial"/>
      <family val="2"/>
      <charset val="1"/>
    </font>
    <font>
      <i/>
      <sz val="10"/>
      <color rgb="FF595959"/>
      <name val="Arial"/>
      <family val="2"/>
      <charset val="1"/>
    </font>
    <font>
      <sz val="10"/>
      <color rgb="FF999999"/>
      <name val="Arial"/>
      <family val="2"/>
      <charset val="1"/>
    </font>
    <font>
      <sz val="10"/>
      <color rgb="FF008000"/>
      <name val="Arial"/>
      <family val="2"/>
      <charset val="1"/>
    </font>
    <font>
      <b/>
      <sz val="10"/>
      <color rgb="FF0000FF"/>
      <name val="Arial"/>
      <family val="2"/>
      <charset val="1"/>
    </font>
    <font>
      <b/>
      <sz val="10"/>
      <color theme="0"/>
      <name val="Arial"/>
      <family val="2"/>
      <charset val="1"/>
    </font>
    <font>
      <b/>
      <sz val="11"/>
      <color rgb="FF008000"/>
      <name val="Arial"/>
      <family val="2"/>
      <charset val="1"/>
    </font>
    <font>
      <b/>
      <sz val="10"/>
      <color rgb="FFC00000"/>
      <name val="Arial"/>
      <family val="2"/>
      <charset val="1"/>
    </font>
    <font>
      <b/>
      <sz val="10"/>
      <name val="Arial"/>
      <family val="2"/>
      <charset val="1"/>
    </font>
    <font>
      <b/>
      <sz val="11"/>
      <color rgb="FF2E75B6"/>
      <name val="Arial"/>
      <family val="2"/>
      <charset val="1"/>
    </font>
    <font>
      <sz val="11"/>
      <color theme="0"/>
      <name val="Calibri"/>
      <family val="2"/>
      <charset val="1"/>
    </font>
    <font>
      <b/>
      <sz val="11"/>
      <color rgb="FF1F4E79"/>
      <name val="Arial"/>
      <family val="2"/>
      <charset val="1"/>
    </font>
    <font>
      <b/>
      <sz val="11"/>
      <color rgb="FFFFFFFF"/>
      <name val="Arial"/>
      <family val="2"/>
      <charset val="1"/>
    </font>
    <font>
      <u/>
      <sz val="10"/>
      <color rgb="FF0563C1"/>
      <name val="Arial"/>
      <family val="2"/>
      <charset val="1"/>
    </font>
    <font>
      <sz val="10"/>
      <color rgb="FF0000FF"/>
      <name val="Arial"/>
      <family val="2"/>
    </font>
    <font>
      <b/>
      <sz val="11"/>
      <color rgb="FF1F4E79"/>
      <name val="Arial"/>
      <family val="2"/>
    </font>
    <font>
      <sz val="10"/>
      <color theme="1"/>
      <name val="Arial"/>
      <family val="2"/>
    </font>
    <font>
      <b/>
      <sz val="10"/>
      <color rgb="FF1F4E79"/>
      <name val="Arial"/>
      <family val="2"/>
    </font>
    <font>
      <sz val="8"/>
      <color rgb="FF808080"/>
      <name val="Arial"/>
      <family val="2"/>
    </font>
    <font>
      <i/>
      <sz val="8"/>
      <color rgb="FF808080"/>
      <name val="Arial"/>
      <family val="2"/>
    </font>
    <font>
      <b/>
      <sz val="10"/>
      <color rgb="FFFFFFFF"/>
      <name val="Arial"/>
      <family val="2"/>
    </font>
    <font>
      <sz val="10"/>
      <color rgb="FF000000"/>
      <name val="Arial"/>
      <family val="2"/>
    </font>
    <font>
      <b/>
      <sz val="10"/>
      <color rgb="FF000000"/>
      <name val="Arial"/>
      <family val="2"/>
    </font>
    <font>
      <i/>
      <sz val="9"/>
      <color rgb="FF595959"/>
      <name val="Arial"/>
      <family val="2"/>
    </font>
    <font>
      <b/>
      <sz val="10"/>
      <color theme="1"/>
      <name val="Arial"/>
      <family val="2"/>
    </font>
    <font>
      <sz val="10"/>
      <color rgb="FFC00000"/>
      <name val="Arial"/>
      <family val="2"/>
    </font>
    <font>
      <b/>
      <i/>
      <sz val="9"/>
      <color rgb="FF595959"/>
      <name val="Arial"/>
      <family val="2"/>
    </font>
    <font>
      <b/>
      <sz val="9"/>
      <color rgb="FFFFFFFF"/>
      <name val="Arial"/>
      <family val="2"/>
    </font>
    <font>
      <sz val="9"/>
      <color theme="1"/>
      <name val="Arial"/>
      <family val="2"/>
    </font>
    <font>
      <b/>
      <sz val="16"/>
      <color theme="1"/>
      <name val="Calibri"/>
      <family val="2"/>
    </font>
  </fonts>
  <fills count="20">
    <fill>
      <patternFill patternType="none"/>
    </fill>
    <fill>
      <patternFill patternType="gray125"/>
    </fill>
    <fill>
      <patternFill patternType="solid">
        <fgColor rgb="FFD6E4F0"/>
        <bgColor rgb="FFDDEBF7"/>
      </patternFill>
    </fill>
    <fill>
      <patternFill patternType="solid">
        <fgColor rgb="FF1F4E79"/>
        <bgColor rgb="FF003366"/>
      </patternFill>
    </fill>
    <fill>
      <patternFill patternType="solid">
        <fgColor rgb="FFE2EFDA"/>
        <bgColor rgb="FFDDEBF7"/>
      </patternFill>
    </fill>
    <fill>
      <patternFill patternType="solid">
        <fgColor rgb="FFFFF2CC"/>
        <bgColor rgb="FFF2F2F2"/>
      </patternFill>
    </fill>
    <fill>
      <patternFill patternType="solid">
        <fgColor rgb="FFF2F2F2"/>
        <bgColor rgb="FFE2EFDA"/>
      </patternFill>
    </fill>
    <fill>
      <patternFill patternType="solid">
        <fgColor rgb="FFFFE699"/>
        <bgColor rgb="FFFFF2CC"/>
      </patternFill>
    </fill>
    <fill>
      <patternFill patternType="solid">
        <fgColor rgb="FFDDEBF7"/>
        <bgColor rgb="FFD6E4F0"/>
      </patternFill>
    </fill>
    <fill>
      <patternFill patternType="solid">
        <fgColor rgb="FF2E75B6"/>
        <bgColor rgb="FF4472C4"/>
      </patternFill>
    </fill>
    <fill>
      <patternFill patternType="solid">
        <fgColor rgb="FFFFFFFF"/>
        <bgColor indexed="64"/>
      </patternFill>
    </fill>
    <fill>
      <patternFill patternType="solid">
        <fgColor rgb="FF1F4E79"/>
        <bgColor indexed="64"/>
      </patternFill>
    </fill>
    <fill>
      <patternFill patternType="solid">
        <fgColor rgb="FFD6E4F0"/>
        <bgColor indexed="64"/>
      </patternFill>
    </fill>
    <fill>
      <patternFill patternType="solid">
        <fgColor rgb="FFF2F2F2"/>
        <bgColor indexed="64"/>
      </patternFill>
    </fill>
    <fill>
      <patternFill patternType="solid">
        <fgColor rgb="FFFFF2CC"/>
        <bgColor indexed="64"/>
      </patternFill>
    </fill>
    <fill>
      <patternFill patternType="solid">
        <fgColor rgb="FFE2EFDA"/>
        <bgColor indexed="64"/>
      </patternFill>
    </fill>
    <fill>
      <patternFill patternType="solid">
        <fgColor rgb="FF548235"/>
        <bgColor indexed="64"/>
      </patternFill>
    </fill>
    <fill>
      <patternFill patternType="solid">
        <fgColor rgb="FF7F6000"/>
        <bgColor indexed="64"/>
      </patternFill>
    </fill>
    <fill>
      <patternFill patternType="solid">
        <fgColor rgb="FF2E75B6"/>
        <bgColor indexed="64"/>
      </patternFill>
    </fill>
    <fill>
      <patternFill patternType="solid">
        <fgColor rgb="FFC00000"/>
        <bgColor indexed="64"/>
      </patternFill>
    </fill>
  </fills>
  <borders count="24">
    <border>
      <left/>
      <right/>
      <top/>
      <bottom/>
      <diagonal/>
    </border>
    <border>
      <left style="thin">
        <color rgb="FFCCCCCC"/>
      </left>
      <right style="thin">
        <color rgb="FFCCCCCC"/>
      </right>
      <top style="thin">
        <color rgb="FFCCCCCC"/>
      </top>
      <bottom style="thin">
        <color rgb="FFCCCCCC"/>
      </bottom>
      <diagonal/>
    </border>
    <border>
      <left/>
      <right/>
      <top/>
      <bottom style="medium">
        <color auto="1"/>
      </bottom>
      <diagonal/>
    </border>
    <border>
      <left/>
      <right/>
      <top style="thin">
        <color auto="1"/>
      </top>
      <bottom style="double">
        <color auto="1"/>
      </bottom>
      <diagonal/>
    </border>
    <border>
      <left/>
      <right/>
      <top/>
      <bottom style="double">
        <color auto="1"/>
      </bottom>
      <diagonal/>
    </border>
    <border>
      <left style="thin">
        <color rgb="FFCCCCCC"/>
      </left>
      <right/>
      <top/>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style="medium">
        <color rgb="FF1F4E79"/>
      </top>
      <bottom/>
      <diagonal/>
    </border>
    <border>
      <left style="thin">
        <color rgb="FFCCCCCC"/>
      </left>
      <right style="thin">
        <color rgb="FFCCCCCC"/>
      </right>
      <top style="thin">
        <color rgb="FFCCCCCC"/>
      </top>
      <bottom style="medium">
        <color rgb="FF1F4E79"/>
      </bottom>
      <diagonal/>
    </border>
    <border>
      <left style="medium">
        <color rgb="FF1F4E79"/>
      </left>
      <right style="thin">
        <color rgb="FFCCCCCC"/>
      </right>
      <top style="medium">
        <color rgb="FF1F4E79"/>
      </top>
      <bottom/>
      <diagonal/>
    </border>
    <border>
      <left style="medium">
        <color rgb="FF1F4E79"/>
      </left>
      <right style="thin">
        <color rgb="FFCCCCCC"/>
      </right>
      <top style="thin">
        <color rgb="FFCCCCCC"/>
      </top>
      <bottom style="thin">
        <color rgb="FFCCCCCC"/>
      </bottom>
      <diagonal/>
    </border>
    <border>
      <left style="medium">
        <color rgb="FF1F4E79"/>
      </left>
      <right style="thin">
        <color rgb="FFCCCCCC"/>
      </right>
      <top style="thin">
        <color rgb="FFCCCCCC"/>
      </top>
      <bottom style="medium">
        <color rgb="FF1F4E79"/>
      </bottom>
      <diagonal/>
    </border>
    <border>
      <left style="thin">
        <color rgb="FFCCCCCC"/>
      </left>
      <right style="medium">
        <color rgb="FF1F4E79"/>
      </right>
      <top style="medium">
        <color rgb="FF1F4E79"/>
      </top>
      <bottom/>
      <diagonal/>
    </border>
    <border>
      <left style="thin">
        <color rgb="FFCCCCCC"/>
      </left>
      <right style="medium">
        <color rgb="FF1F4E79"/>
      </right>
      <top style="thin">
        <color rgb="FFCCCCCC"/>
      </top>
      <bottom style="thin">
        <color rgb="FFCCCCCC"/>
      </bottom>
      <diagonal/>
    </border>
    <border>
      <left style="thin">
        <color rgb="FFCCCCCC"/>
      </left>
      <right style="medium">
        <color rgb="FF1F4E79"/>
      </right>
      <top style="thin">
        <color rgb="FFCCCCCC"/>
      </top>
      <bottom style="medium">
        <color rgb="FF1F4E79"/>
      </bottom>
      <diagonal/>
    </border>
    <border>
      <left style="medium">
        <color rgb="FF1F4E79"/>
      </left>
      <right style="thin">
        <color rgb="FFCCCCCC"/>
      </right>
      <top style="thin">
        <color rgb="FFCCCCCC"/>
      </top>
      <bottom/>
      <diagonal/>
    </border>
    <border>
      <left style="thin">
        <color rgb="FFCCCCCC"/>
      </left>
      <right style="medium">
        <color rgb="FF1F4E79"/>
      </right>
      <top style="thin">
        <color rgb="FFCCCCCC"/>
      </top>
      <bottom/>
      <diagonal/>
    </border>
    <border>
      <left style="medium">
        <color rgb="FF1F4E79"/>
      </left>
      <right style="thin">
        <color rgb="FFCCCCCC"/>
      </right>
      <top/>
      <bottom style="thin">
        <color rgb="FFCCCCCC"/>
      </bottom>
      <diagonal/>
    </border>
    <border>
      <left style="thin">
        <color rgb="FFCCCCCC"/>
      </left>
      <right style="medium">
        <color rgb="FF1F4E79"/>
      </right>
      <top/>
      <bottom style="thin">
        <color rgb="FFCCCCCC"/>
      </bottom>
      <diagonal/>
    </border>
    <border>
      <left style="medium">
        <color rgb="FF1F4E79"/>
      </left>
      <right style="thin">
        <color rgb="FFCCCCCC"/>
      </right>
      <top style="thin">
        <color rgb="FFCCCCCC"/>
      </top>
      <bottom style="medium">
        <color rgb="FF808080"/>
      </bottom>
      <diagonal/>
    </border>
    <border>
      <left style="thin">
        <color rgb="FFCCCCCC"/>
      </left>
      <right style="thin">
        <color rgb="FFCCCCCC"/>
      </right>
      <top style="thin">
        <color rgb="FFCCCCCC"/>
      </top>
      <bottom style="medium">
        <color rgb="FF808080"/>
      </bottom>
      <diagonal/>
    </border>
    <border>
      <left style="thin">
        <color rgb="FFCCCCCC"/>
      </left>
      <right style="medium">
        <color rgb="FF1F4E79"/>
      </right>
      <top style="thin">
        <color rgb="FFCCCCCC"/>
      </top>
      <bottom style="medium">
        <color rgb="FF808080"/>
      </bottom>
      <diagonal/>
    </border>
    <border>
      <left style="thin">
        <color rgb="FFCCCCCC"/>
      </left>
      <right style="thin">
        <color rgb="FFCCCCCC"/>
      </right>
      <top/>
      <bottom/>
      <diagonal/>
    </border>
  </borders>
  <cellStyleXfs count="1">
    <xf numFmtId="0" fontId="0" fillId="0" borderId="0"/>
  </cellStyleXfs>
  <cellXfs count="287">
    <xf numFmtId="0" fontId="0" fillId="0" borderId="0" xfId="0"/>
    <xf numFmtId="0" fontId="6" fillId="2" borderId="0" xfId="0" applyFont="1" applyFill="1"/>
    <xf numFmtId="0" fontId="1" fillId="0" borderId="0" xfId="0" applyFont="1"/>
    <xf numFmtId="0" fontId="11" fillId="0" borderId="0" xfId="0" applyFont="1"/>
    <xf numFmtId="0" fontId="11" fillId="0" borderId="0" xfId="0" applyFont="1" applyAlignment="1">
      <alignment vertical="top" wrapText="1"/>
    </xf>
    <xf numFmtId="0" fontId="2" fillId="2" borderId="0" xfId="0" applyFont="1" applyFill="1" applyAlignment="1">
      <alignment horizontal="left" vertical="top" wrapText="1"/>
    </xf>
    <xf numFmtId="0" fontId="3" fillId="0" borderId="0" xfId="0" applyFont="1" applyAlignment="1">
      <alignment vertical="top" wrapText="1"/>
    </xf>
    <xf numFmtId="0" fontId="2" fillId="2" borderId="1" xfId="0" applyFont="1" applyFill="1" applyBorder="1"/>
    <xf numFmtId="0" fontId="0" fillId="2" borderId="1" xfId="0" applyFill="1" applyBorder="1"/>
    <xf numFmtId="0" fontId="3" fillId="0" borderId="1" xfId="0" applyFont="1" applyBorder="1"/>
    <xf numFmtId="0" fontId="4" fillId="0" borderId="1" xfId="0" applyFont="1" applyBorder="1"/>
    <xf numFmtId="0" fontId="5" fillId="0" borderId="1" xfId="0" applyFont="1" applyBorder="1" applyAlignment="1">
      <alignment vertical="top" wrapText="1"/>
    </xf>
    <xf numFmtId="0" fontId="5" fillId="0" borderId="1" xfId="0" applyFont="1" applyBorder="1"/>
    <xf numFmtId="164" fontId="4" fillId="0" borderId="1" xfId="0" applyNumberFormat="1" applyFont="1" applyBorder="1" applyAlignment="1">
      <alignment horizontal="right"/>
    </xf>
    <xf numFmtId="165" fontId="3" fillId="0" borderId="0" xfId="0" applyNumberFormat="1" applyFont="1"/>
    <xf numFmtId="3" fontId="4" fillId="0" borderId="1" xfId="0" applyNumberFormat="1" applyFont="1" applyBorder="1" applyAlignment="1">
      <alignment horizontal="right"/>
    </xf>
    <xf numFmtId="166" fontId="3" fillId="0" borderId="1" xfId="0" applyNumberFormat="1" applyFont="1" applyBorder="1"/>
    <xf numFmtId="0" fontId="3" fillId="0" borderId="1" xfId="0" applyFont="1" applyBorder="1" applyAlignment="1">
      <alignment vertical="top" wrapText="1"/>
    </xf>
    <xf numFmtId="167" fontId="3" fillId="0" borderId="1" xfId="0" applyNumberFormat="1" applyFont="1" applyBorder="1"/>
    <xf numFmtId="0" fontId="3" fillId="2" borderId="1" xfId="0" applyFont="1" applyFill="1" applyBorder="1"/>
    <xf numFmtId="0" fontId="4" fillId="2" borderId="1" xfId="0" applyFont="1" applyFill="1" applyBorder="1"/>
    <xf numFmtId="0" fontId="5" fillId="2" borderId="1" xfId="0" applyFont="1" applyFill="1" applyBorder="1"/>
    <xf numFmtId="0" fontId="3" fillId="0" borderId="0" xfId="0" applyFont="1"/>
    <xf numFmtId="0" fontId="5" fillId="0" borderId="0" xfId="0" applyFont="1"/>
    <xf numFmtId="0" fontId="7" fillId="3" borderId="1" xfId="0" applyFont="1" applyFill="1" applyBorder="1" applyAlignment="1">
      <alignment horizontal="center" wrapText="1"/>
    </xf>
    <xf numFmtId="164" fontId="4" fillId="0" borderId="1" xfId="0" applyNumberFormat="1" applyFont="1" applyBorder="1"/>
    <xf numFmtId="3" fontId="4" fillId="0" borderId="1" xfId="0" applyNumberFormat="1" applyFont="1" applyBorder="1"/>
    <xf numFmtId="0" fontId="2" fillId="4" borderId="1" xfId="0" applyFont="1" applyFill="1" applyBorder="1"/>
    <xf numFmtId="3" fontId="2" fillId="4" borderId="2" xfId="0" applyNumberFormat="1" applyFont="1" applyFill="1" applyBorder="1"/>
    <xf numFmtId="164" fontId="2" fillId="4" borderId="1" xfId="0" applyNumberFormat="1" applyFont="1" applyFill="1" applyBorder="1"/>
    <xf numFmtId="164" fontId="3" fillId="0" borderId="1" xfId="0" applyNumberFormat="1" applyFont="1" applyBorder="1"/>
    <xf numFmtId="3" fontId="8" fillId="4" borderId="3" xfId="0" applyNumberFormat="1" applyFont="1" applyFill="1" applyBorder="1"/>
    <xf numFmtId="0" fontId="2" fillId="0" borderId="1" xfId="0" applyFont="1" applyBorder="1"/>
    <xf numFmtId="168" fontId="6" fillId="0" borderId="1" xfId="0" applyNumberFormat="1" applyFont="1" applyBorder="1"/>
    <xf numFmtId="0" fontId="9" fillId="0" borderId="0" xfId="0" applyFont="1"/>
    <xf numFmtId="169" fontId="4" fillId="0" borderId="0" xfId="0" applyNumberFormat="1" applyFont="1"/>
    <xf numFmtId="164" fontId="3" fillId="0" borderId="0" xfId="0" applyNumberFormat="1" applyFont="1"/>
    <xf numFmtId="0" fontId="10" fillId="0" borderId="0" xfId="0" applyFont="1" applyAlignment="1">
      <alignment vertical="top" wrapText="1"/>
    </xf>
    <xf numFmtId="0" fontId="10" fillId="0" borderId="0" xfId="0" applyFont="1"/>
    <xf numFmtId="169" fontId="3" fillId="0" borderId="0" xfId="0" applyNumberFormat="1" applyFont="1"/>
    <xf numFmtId="0" fontId="2" fillId="0" borderId="0" xfId="0" applyFont="1"/>
    <xf numFmtId="169" fontId="2" fillId="5" borderId="0" xfId="0" applyNumberFormat="1" applyFont="1" applyFill="1"/>
    <xf numFmtId="0" fontId="12" fillId="0" borderId="1" xfId="0" applyFont="1" applyBorder="1"/>
    <xf numFmtId="3" fontId="3" fillId="0" borderId="2" xfId="0" applyNumberFormat="1" applyFont="1" applyBorder="1"/>
    <xf numFmtId="165" fontId="3" fillId="0" borderId="1" xfId="0" applyNumberFormat="1" applyFont="1" applyBorder="1"/>
    <xf numFmtId="3" fontId="2" fillId="0" borderId="4" xfId="0" applyNumberFormat="1" applyFont="1" applyBorder="1"/>
    <xf numFmtId="3" fontId="3" fillId="0" borderId="1" xfId="0" applyNumberFormat="1" applyFont="1" applyBorder="1"/>
    <xf numFmtId="3" fontId="13" fillId="0" borderId="1" xfId="0" applyNumberFormat="1" applyFont="1" applyBorder="1"/>
    <xf numFmtId="3" fontId="2" fillId="0" borderId="2" xfId="0" applyNumberFormat="1" applyFont="1" applyBorder="1"/>
    <xf numFmtId="168" fontId="3" fillId="0" borderId="1" xfId="0" applyNumberFormat="1" applyFont="1" applyBorder="1"/>
    <xf numFmtId="169" fontId="4" fillId="5" borderId="0" xfId="0" applyNumberFormat="1" applyFont="1" applyFill="1"/>
    <xf numFmtId="164" fontId="4" fillId="0" borderId="0" xfId="0" applyNumberFormat="1" applyFont="1"/>
    <xf numFmtId="0" fontId="14" fillId="0" borderId="1" xfId="0" applyFont="1" applyBorder="1"/>
    <xf numFmtId="0" fontId="7" fillId="3" borderId="1" xfId="0" applyFont="1" applyFill="1" applyBorder="1" applyAlignment="1">
      <alignment horizontal="center"/>
    </xf>
    <xf numFmtId="3" fontId="4" fillId="0" borderId="4" xfId="0" applyNumberFormat="1" applyFont="1" applyBorder="1" applyAlignment="1">
      <alignment horizontal="right"/>
    </xf>
    <xf numFmtId="0" fontId="2" fillId="6" borderId="1" xfId="0" applyFont="1" applyFill="1" applyBorder="1"/>
    <xf numFmtId="170" fontId="4" fillId="4" borderId="1" xfId="0" applyNumberFormat="1" applyFont="1" applyFill="1" applyBorder="1" applyAlignment="1">
      <alignment horizontal="right"/>
    </xf>
    <xf numFmtId="170" fontId="4" fillId="0" borderId="1" xfId="0" applyNumberFormat="1" applyFont="1" applyBorder="1" applyAlignment="1">
      <alignment horizontal="right"/>
    </xf>
    <xf numFmtId="170" fontId="4" fillId="5" borderId="1" xfId="0" applyNumberFormat="1" applyFont="1" applyFill="1" applyBorder="1" applyAlignment="1">
      <alignment horizontal="right"/>
    </xf>
    <xf numFmtId="0" fontId="4" fillId="0" borderId="0" xfId="0" applyFont="1"/>
    <xf numFmtId="0" fontId="6" fillId="0" borderId="0" xfId="0" applyFont="1"/>
    <xf numFmtId="0" fontId="3" fillId="5" borderId="0" xfId="0" applyFont="1" applyFill="1"/>
    <xf numFmtId="0" fontId="2" fillId="2" borderId="1" xfId="0" applyFont="1" applyFill="1" applyBorder="1" applyAlignment="1">
      <alignment horizontal="center" wrapText="1"/>
    </xf>
    <xf numFmtId="0" fontId="3" fillId="2" borderId="1" xfId="0" applyFont="1" applyFill="1" applyBorder="1" applyAlignment="1">
      <alignment horizontal="center" wrapText="1"/>
    </xf>
    <xf numFmtId="0" fontId="3" fillId="0" borderId="0" xfId="0" applyFont="1" applyAlignment="1">
      <alignment horizontal="center" wrapText="1"/>
    </xf>
    <xf numFmtId="164" fontId="7" fillId="3" borderId="1" xfId="0" applyNumberFormat="1" applyFont="1" applyFill="1" applyBorder="1" applyAlignment="1">
      <alignment horizontal="center" wrapText="1"/>
    </xf>
    <xf numFmtId="171" fontId="7" fillId="3" borderId="1" xfId="0" applyNumberFormat="1" applyFont="1" applyFill="1" applyBorder="1" applyAlignment="1">
      <alignment horizontal="center" wrapText="1"/>
    </xf>
    <xf numFmtId="3" fontId="7" fillId="3" borderId="1" xfId="0" applyNumberFormat="1" applyFont="1" applyFill="1" applyBorder="1" applyAlignment="1">
      <alignment horizontal="center" wrapText="1"/>
    </xf>
    <xf numFmtId="168" fontId="3" fillId="0" borderId="0" xfId="0" applyNumberFormat="1" applyFont="1"/>
    <xf numFmtId="165" fontId="3" fillId="0" borderId="0" xfId="0" applyNumberFormat="1" applyFont="1" applyAlignment="1">
      <alignment horizontal="right"/>
    </xf>
    <xf numFmtId="165" fontId="4" fillId="0" borderId="1" xfId="0" applyNumberFormat="1" applyFont="1" applyBorder="1"/>
    <xf numFmtId="165" fontId="4" fillId="0" borderId="1" xfId="0" applyNumberFormat="1" applyFont="1" applyBorder="1" applyAlignment="1">
      <alignment horizontal="right"/>
    </xf>
    <xf numFmtId="3" fontId="12" fillId="0" borderId="1" xfId="0" applyNumberFormat="1" applyFont="1" applyBorder="1" applyAlignment="1">
      <alignment horizontal="right"/>
    </xf>
    <xf numFmtId="0" fontId="3" fillId="6" borderId="1" xfId="0" applyFont="1" applyFill="1" applyBorder="1"/>
    <xf numFmtId="3" fontId="4" fillId="6" borderId="1" xfId="0" applyNumberFormat="1" applyFont="1" applyFill="1" applyBorder="1" applyAlignment="1">
      <alignment horizontal="right"/>
    </xf>
    <xf numFmtId="165" fontId="4" fillId="6" borderId="1" xfId="0" applyNumberFormat="1" applyFont="1" applyFill="1" applyBorder="1"/>
    <xf numFmtId="165" fontId="4" fillId="6" borderId="1" xfId="0" applyNumberFormat="1" applyFont="1" applyFill="1" applyBorder="1" applyAlignment="1">
      <alignment horizontal="right"/>
    </xf>
    <xf numFmtId="3" fontId="4" fillId="6" borderId="1" xfId="0" applyNumberFormat="1" applyFont="1" applyFill="1" applyBorder="1"/>
    <xf numFmtId="3" fontId="12" fillId="6" borderId="1" xfId="0" applyNumberFormat="1" applyFont="1" applyFill="1" applyBorder="1" applyAlignment="1">
      <alignment horizontal="right"/>
    </xf>
    <xf numFmtId="0" fontId="3" fillId="4" borderId="1" xfId="0" applyFont="1" applyFill="1" applyBorder="1"/>
    <xf numFmtId="3" fontId="4" fillId="4" borderId="1" xfId="0" applyNumberFormat="1" applyFont="1" applyFill="1" applyBorder="1"/>
    <xf numFmtId="165" fontId="4" fillId="4" borderId="1" xfId="0" applyNumberFormat="1" applyFont="1" applyFill="1" applyBorder="1"/>
    <xf numFmtId="0" fontId="3" fillId="0" borderId="1" xfId="0" applyFont="1" applyBorder="1" applyAlignment="1">
      <alignment horizontal="left"/>
    </xf>
    <xf numFmtId="168" fontId="4" fillId="0" borderId="1" xfId="0" applyNumberFormat="1" applyFont="1" applyBorder="1" applyAlignment="1">
      <alignment horizontal="right"/>
    </xf>
    <xf numFmtId="0" fontId="12" fillId="0" borderId="1" xfId="0" applyFont="1" applyBorder="1" applyAlignment="1">
      <alignment horizontal="right"/>
    </xf>
    <xf numFmtId="3" fontId="3" fillId="6" borderId="1" xfId="0" applyNumberFormat="1" applyFont="1" applyFill="1" applyBorder="1" applyAlignment="1">
      <alignment horizontal="left"/>
    </xf>
    <xf numFmtId="168" fontId="4" fillId="6" borderId="1" xfId="0" applyNumberFormat="1" applyFont="1" applyFill="1" applyBorder="1" applyAlignment="1">
      <alignment horizontal="right"/>
    </xf>
    <xf numFmtId="3" fontId="3" fillId="0" borderId="1" xfId="0" applyNumberFormat="1" applyFont="1" applyBorder="1" applyAlignment="1">
      <alignment horizontal="left"/>
    </xf>
    <xf numFmtId="171" fontId="3" fillId="6" borderId="1" xfId="0" applyNumberFormat="1" applyFont="1" applyFill="1" applyBorder="1" applyAlignment="1">
      <alignment horizontal="left"/>
    </xf>
    <xf numFmtId="0" fontId="3" fillId="6" borderId="1" xfId="0" applyFont="1" applyFill="1" applyBorder="1" applyAlignment="1">
      <alignment horizontal="left"/>
    </xf>
    <xf numFmtId="3" fontId="3" fillId="2" borderId="1" xfId="0" applyNumberFormat="1" applyFont="1" applyFill="1" applyBorder="1"/>
    <xf numFmtId="168" fontId="3" fillId="2" borderId="1" xfId="0" applyNumberFormat="1" applyFont="1" applyFill="1" applyBorder="1"/>
    <xf numFmtId="165" fontId="3" fillId="2" borderId="1" xfId="0" applyNumberFormat="1" applyFont="1" applyFill="1" applyBorder="1"/>
    <xf numFmtId="168" fontId="3" fillId="2" borderId="1" xfId="0" applyNumberFormat="1" applyFont="1" applyFill="1" applyBorder="1" applyAlignment="1">
      <alignment horizontal="right"/>
    </xf>
    <xf numFmtId="168" fontId="5" fillId="0" borderId="1" xfId="0" applyNumberFormat="1" applyFont="1" applyBorder="1"/>
    <xf numFmtId="168" fontId="13" fillId="0" borderId="1" xfId="0" applyNumberFormat="1" applyFont="1" applyBorder="1"/>
    <xf numFmtId="169" fontId="2" fillId="0" borderId="1" xfId="0" applyNumberFormat="1" applyFont="1" applyBorder="1"/>
    <xf numFmtId="164" fontId="2" fillId="5" borderId="3" xfId="0" applyNumberFormat="1" applyFont="1" applyFill="1" applyBorder="1"/>
    <xf numFmtId="164" fontId="2" fillId="0" borderId="0" xfId="0" applyNumberFormat="1" applyFont="1"/>
    <xf numFmtId="171" fontId="4" fillId="0" borderId="0" xfId="0" applyNumberFormat="1" applyFont="1"/>
    <xf numFmtId="169" fontId="2" fillId="0" borderId="0" xfId="0" applyNumberFormat="1" applyFont="1"/>
    <xf numFmtId="164" fontId="2" fillId="5" borderId="0" xfId="0" applyNumberFormat="1" applyFont="1" applyFill="1"/>
    <xf numFmtId="0" fontId="11" fillId="0" borderId="1" xfId="0" applyFont="1" applyBorder="1"/>
    <xf numFmtId="0" fontId="15" fillId="3" borderId="1" xfId="0" applyFont="1" applyFill="1" applyBorder="1" applyAlignment="1">
      <alignment horizontal="center" wrapText="1"/>
    </xf>
    <xf numFmtId="169" fontId="4" fillId="0" borderId="1" xfId="0" applyNumberFormat="1" applyFont="1" applyBorder="1" applyAlignment="1">
      <alignment horizontal="right"/>
    </xf>
    <xf numFmtId="169" fontId="4" fillId="5" borderId="1" xfId="0" applyNumberFormat="1" applyFont="1" applyFill="1" applyBorder="1" applyAlignment="1">
      <alignment horizontal="right"/>
    </xf>
    <xf numFmtId="165" fontId="3" fillId="0" borderId="1" xfId="0" applyNumberFormat="1" applyFont="1" applyBorder="1" applyAlignment="1">
      <alignment horizontal="right"/>
    </xf>
    <xf numFmtId="169" fontId="4" fillId="6" borderId="1" xfId="0" applyNumberFormat="1" applyFont="1" applyFill="1" applyBorder="1" applyAlignment="1">
      <alignment horizontal="right"/>
    </xf>
    <xf numFmtId="168" fontId="3" fillId="6" borderId="1" xfId="0" applyNumberFormat="1" applyFont="1" applyFill="1" applyBorder="1"/>
    <xf numFmtId="168" fontId="2" fillId="2" borderId="1" xfId="0" applyNumberFormat="1" applyFont="1" applyFill="1" applyBorder="1"/>
    <xf numFmtId="165" fontId="2" fillId="0" borderId="0" xfId="0" applyNumberFormat="1" applyFont="1"/>
    <xf numFmtId="0" fontId="6" fillId="2" borderId="1" xfId="0" applyFont="1" applyFill="1" applyBorder="1"/>
    <xf numFmtId="171" fontId="4" fillId="0" borderId="1" xfId="0" applyNumberFormat="1" applyFont="1" applyBorder="1" applyAlignment="1">
      <alignment horizontal="center"/>
    </xf>
    <xf numFmtId="0" fontId="7" fillId="0" borderId="1" xfId="0" applyFont="1" applyBorder="1" applyAlignment="1">
      <alignment horizontal="center"/>
    </xf>
    <xf numFmtId="3" fontId="2" fillId="0" borderId="1" xfId="0" applyNumberFormat="1" applyFont="1" applyBorder="1"/>
    <xf numFmtId="169" fontId="3" fillId="0" borderId="1" xfId="0" applyNumberFormat="1" applyFont="1" applyBorder="1"/>
    <xf numFmtId="169" fontId="3" fillId="0" borderId="3" xfId="0" applyNumberFormat="1" applyFont="1" applyBorder="1"/>
    <xf numFmtId="164" fontId="2" fillId="5" borderId="1" xfId="0" applyNumberFormat="1" applyFont="1" applyFill="1" applyBorder="1" applyAlignment="1">
      <alignment horizontal="right"/>
    </xf>
    <xf numFmtId="1" fontId="3" fillId="0" borderId="1" xfId="0" applyNumberFormat="1" applyFont="1" applyBorder="1"/>
    <xf numFmtId="1" fontId="3" fillId="6" borderId="1" xfId="0" applyNumberFormat="1" applyFont="1" applyFill="1" applyBorder="1"/>
    <xf numFmtId="164" fontId="16" fillId="4" borderId="3" xfId="0" applyNumberFormat="1" applyFont="1" applyFill="1" applyBorder="1"/>
    <xf numFmtId="0" fontId="17" fillId="0" borderId="1" xfId="0" applyFont="1" applyBorder="1"/>
    <xf numFmtId="170" fontId="17" fillId="0" borderId="1" xfId="0" applyNumberFormat="1" applyFont="1" applyBorder="1"/>
    <xf numFmtId="164" fontId="17" fillId="0" borderId="1" xfId="0" applyNumberFormat="1" applyFont="1" applyBorder="1"/>
    <xf numFmtId="0" fontId="15" fillId="3" borderId="1" xfId="0" applyFont="1" applyFill="1" applyBorder="1" applyAlignment="1">
      <alignment horizontal="center"/>
    </xf>
    <xf numFmtId="169" fontId="2" fillId="0" borderId="1" xfId="0" applyNumberFormat="1" applyFont="1" applyBorder="1" applyAlignment="1">
      <alignment horizontal="right"/>
    </xf>
    <xf numFmtId="169" fontId="4" fillId="5" borderId="1" xfId="0" applyNumberFormat="1" applyFont="1" applyFill="1" applyBorder="1"/>
    <xf numFmtId="165" fontId="12" fillId="0" borderId="1" xfId="0" applyNumberFormat="1" applyFont="1" applyBorder="1"/>
    <xf numFmtId="169" fontId="2" fillId="2" borderId="4" xfId="0" applyNumberFormat="1" applyFont="1" applyFill="1" applyBorder="1"/>
    <xf numFmtId="165" fontId="2" fillId="0" borderId="1" xfId="0" applyNumberFormat="1" applyFont="1" applyBorder="1"/>
    <xf numFmtId="3" fontId="11" fillId="6" borderId="1" xfId="0" applyNumberFormat="1" applyFont="1" applyFill="1" applyBorder="1" applyAlignment="1">
      <alignment horizontal="center"/>
    </xf>
    <xf numFmtId="169" fontId="4" fillId="0" borderId="1" xfId="0" applyNumberFormat="1" applyFont="1" applyBorder="1"/>
    <xf numFmtId="169" fontId="3" fillId="6" borderId="1" xfId="0" applyNumberFormat="1" applyFont="1" applyFill="1" applyBorder="1" applyAlignment="1">
      <alignment horizontal="right"/>
    </xf>
    <xf numFmtId="169" fontId="3" fillId="0" borderId="1" xfId="0" applyNumberFormat="1" applyFont="1" applyBorder="1" applyAlignment="1">
      <alignment horizontal="right"/>
    </xf>
    <xf numFmtId="3" fontId="2" fillId="6" borderId="4" xfId="0" applyNumberFormat="1" applyFont="1" applyFill="1" applyBorder="1"/>
    <xf numFmtId="169" fontId="3" fillId="6" borderId="1" xfId="0" applyNumberFormat="1" applyFont="1" applyFill="1" applyBorder="1"/>
    <xf numFmtId="168" fontId="18" fillId="4" borderId="1" xfId="0" applyNumberFormat="1" applyFont="1" applyFill="1" applyBorder="1"/>
    <xf numFmtId="165" fontId="18" fillId="4" borderId="3" xfId="0" applyNumberFormat="1" applyFont="1" applyFill="1" applyBorder="1"/>
    <xf numFmtId="0" fontId="11" fillId="0" borderId="1" xfId="0" applyFont="1" applyBorder="1" applyAlignment="1">
      <alignment horizontal="center" wrapText="1"/>
    </xf>
    <xf numFmtId="172" fontId="4" fillId="0" borderId="1" xfId="0" applyNumberFormat="1" applyFont="1" applyBorder="1"/>
    <xf numFmtId="172" fontId="4" fillId="6" borderId="1" xfId="0" applyNumberFormat="1" applyFont="1" applyFill="1" applyBorder="1"/>
    <xf numFmtId="0" fontId="4" fillId="6" borderId="1" xfId="0" applyFont="1" applyFill="1" applyBorder="1"/>
    <xf numFmtId="0" fontId="19" fillId="0" borderId="1" xfId="0" applyFont="1" applyBorder="1"/>
    <xf numFmtId="168" fontId="4" fillId="0" borderId="1" xfId="0" applyNumberFormat="1" applyFont="1" applyBorder="1"/>
    <xf numFmtId="165" fontId="4" fillId="0" borderId="0" xfId="0" applyNumberFormat="1" applyFont="1"/>
    <xf numFmtId="1" fontId="4" fillId="0" borderId="0" xfId="0" applyNumberFormat="1" applyFont="1"/>
    <xf numFmtId="0" fontId="2" fillId="0" borderId="0" xfId="0" applyFont="1" applyAlignment="1">
      <alignment horizontal="center"/>
    </xf>
    <xf numFmtId="0" fontId="0" fillId="0" borderId="0" xfId="0" applyAlignment="1">
      <alignment vertical="top" wrapText="1"/>
    </xf>
    <xf numFmtId="164" fontId="2" fillId="0" borderId="1" xfId="0" applyNumberFormat="1" applyFont="1" applyBorder="1" applyAlignment="1">
      <alignment horizontal="right"/>
    </xf>
    <xf numFmtId="164" fontId="2" fillId="0" borderId="1" xfId="0" applyNumberFormat="1" applyFont="1" applyBorder="1"/>
    <xf numFmtId="0" fontId="20" fillId="0" borderId="0" xfId="0" applyFont="1"/>
    <xf numFmtId="0" fontId="18" fillId="7" borderId="1" xfId="0" applyFont="1" applyFill="1" applyBorder="1"/>
    <xf numFmtId="0" fontId="2" fillId="7" borderId="1" xfId="0" applyFont="1" applyFill="1" applyBorder="1"/>
    <xf numFmtId="0" fontId="6" fillId="8" borderId="0" xfId="0" applyFont="1" applyFill="1"/>
    <xf numFmtId="0" fontId="3" fillId="8" borderId="0" xfId="0" applyFont="1" applyFill="1"/>
    <xf numFmtId="164" fontId="14" fillId="5" borderId="0" xfId="0" applyNumberFormat="1" applyFont="1" applyFill="1"/>
    <xf numFmtId="0" fontId="2" fillId="4" borderId="0" xfId="0" applyFont="1" applyFill="1"/>
    <xf numFmtId="0" fontId="2" fillId="0" borderId="1" xfId="0" applyFont="1" applyBorder="1" applyAlignment="1">
      <alignment horizontal="center"/>
    </xf>
    <xf numFmtId="0" fontId="3" fillId="7" borderId="1" xfId="0" applyFont="1" applyFill="1" applyBorder="1"/>
    <xf numFmtId="0" fontId="3" fillId="7" borderId="0" xfId="0" applyFont="1" applyFill="1"/>
    <xf numFmtId="0" fontId="7" fillId="3" borderId="1" xfId="0" applyFont="1" applyFill="1" applyBorder="1" applyAlignment="1">
      <alignment horizontal="center" vertical="center"/>
    </xf>
    <xf numFmtId="0" fontId="2" fillId="0" borderId="1" xfId="0" applyFont="1" applyBorder="1" applyAlignment="1">
      <alignment horizontal="center" vertical="top"/>
    </xf>
    <xf numFmtId="0" fontId="3" fillId="0" borderId="1" xfId="0" applyFont="1" applyBorder="1" applyAlignment="1">
      <alignment horizontal="left" vertical="top" wrapText="1"/>
    </xf>
    <xf numFmtId="0" fontId="23" fillId="0" borderId="1" xfId="0" applyFont="1" applyBorder="1" applyAlignment="1">
      <alignment horizontal="left" vertical="top" wrapText="1"/>
    </xf>
    <xf numFmtId="0" fontId="2" fillId="0" borderId="0" xfId="0" applyFont="1" applyAlignment="1">
      <alignment horizontal="left" vertical="top" wrapText="1"/>
    </xf>
    <xf numFmtId="168" fontId="3" fillId="4" borderId="1" xfId="0" applyNumberFormat="1" applyFont="1" applyFill="1" applyBorder="1"/>
    <xf numFmtId="0" fontId="2" fillId="8" borderId="0" xfId="0" applyFont="1" applyFill="1"/>
    <xf numFmtId="0" fontId="10" fillId="0" borderId="1" xfId="0" applyFont="1" applyBorder="1" applyAlignment="1">
      <alignment vertical="top" wrapText="1"/>
    </xf>
    <xf numFmtId="0" fontId="10" fillId="0" borderId="1" xfId="0" applyFont="1" applyBorder="1"/>
    <xf numFmtId="164" fontId="14" fillId="0" borderId="1" xfId="0" applyNumberFormat="1" applyFont="1" applyBorder="1"/>
    <xf numFmtId="0" fontId="0" fillId="0" borderId="1" xfId="0" applyBorder="1"/>
    <xf numFmtId="168" fontId="4" fillId="5" borderId="1" xfId="0" applyNumberFormat="1" applyFont="1" applyFill="1" applyBorder="1"/>
    <xf numFmtId="169" fontId="3" fillId="5" borderId="1" xfId="0" applyNumberFormat="1" applyFont="1" applyFill="1" applyBorder="1"/>
    <xf numFmtId="164" fontId="3" fillId="5" borderId="1" xfId="0" applyNumberFormat="1" applyFont="1" applyFill="1" applyBorder="1"/>
    <xf numFmtId="170" fontId="2" fillId="5" borderId="1" xfId="0" applyNumberFormat="1" applyFont="1" applyFill="1" applyBorder="1"/>
    <xf numFmtId="170" fontId="2" fillId="0" borderId="1" xfId="0" applyNumberFormat="1" applyFont="1" applyBorder="1"/>
    <xf numFmtId="0" fontId="2" fillId="5" borderId="1" xfId="0" applyFont="1" applyFill="1" applyBorder="1"/>
    <xf numFmtId="173" fontId="24" fillId="10" borderId="1" xfId="0" applyNumberFormat="1" applyFont="1" applyFill="1" applyBorder="1" applyAlignment="1">
      <alignment horizontal="right"/>
    </xf>
    <xf numFmtId="0" fontId="27" fillId="12" borderId="0" xfId="0" applyFont="1" applyFill="1"/>
    <xf numFmtId="0" fontId="29" fillId="0" borderId="0" xfId="0" applyFont="1"/>
    <xf numFmtId="0" fontId="33" fillId="0" borderId="0" xfId="0" applyFont="1"/>
    <xf numFmtId="0" fontId="30" fillId="11" borderId="1" xfId="0" applyFont="1" applyFill="1" applyBorder="1" applyAlignment="1">
      <alignment horizontal="center"/>
    </xf>
    <xf numFmtId="168" fontId="30" fillId="11" borderId="1" xfId="0" applyNumberFormat="1" applyFont="1" applyFill="1" applyBorder="1" applyAlignment="1">
      <alignment horizontal="center"/>
    </xf>
    <xf numFmtId="165" fontId="32" fillId="13" borderId="1" xfId="0" applyNumberFormat="1" applyFont="1" applyFill="1" applyBorder="1" applyAlignment="1">
      <alignment horizontal="center"/>
    </xf>
    <xf numFmtId="174" fontId="31" fillId="0" borderId="1" xfId="0" applyNumberFormat="1" applyFont="1" applyBorder="1" applyAlignment="1">
      <alignment horizontal="right"/>
    </xf>
    <xf numFmtId="174" fontId="32" fillId="14" borderId="1" xfId="0" applyNumberFormat="1" applyFont="1" applyFill="1" applyBorder="1" applyAlignment="1">
      <alignment horizontal="right"/>
    </xf>
    <xf numFmtId="0" fontId="27" fillId="12" borderId="1" xfId="0" applyFont="1" applyFill="1" applyBorder="1"/>
    <xf numFmtId="0" fontId="30" fillId="11" borderId="1" xfId="0" applyFont="1" applyFill="1" applyBorder="1"/>
    <xf numFmtId="0" fontId="26" fillId="0" borderId="1" xfId="0" applyFont="1" applyBorder="1"/>
    <xf numFmtId="10" fontId="24" fillId="0" borderId="1" xfId="0" applyNumberFormat="1" applyFont="1" applyBorder="1" applyAlignment="1">
      <alignment horizontal="right"/>
    </xf>
    <xf numFmtId="0" fontId="28" fillId="0" borderId="1" xfId="0" applyFont="1" applyBorder="1"/>
    <xf numFmtId="2" fontId="24" fillId="0" borderId="1" xfId="0" applyNumberFormat="1" applyFont="1" applyBorder="1" applyAlignment="1">
      <alignment horizontal="right"/>
    </xf>
    <xf numFmtId="0" fontId="34" fillId="0" borderId="1" xfId="0" applyFont="1" applyBorder="1"/>
    <xf numFmtId="10" fontId="32" fillId="0" borderId="1" xfId="0" applyNumberFormat="1" applyFont="1" applyBorder="1" applyAlignment="1">
      <alignment horizontal="right"/>
    </xf>
    <xf numFmtId="0" fontId="28" fillId="0" borderId="1" xfId="0" quotePrefix="1" applyFont="1" applyBorder="1"/>
    <xf numFmtId="165" fontId="24" fillId="0" borderId="1" xfId="0" applyNumberFormat="1" applyFont="1" applyBorder="1" applyAlignment="1">
      <alignment horizontal="right"/>
    </xf>
    <xf numFmtId="165" fontId="31" fillId="0" borderId="1" xfId="0" applyNumberFormat="1" applyFont="1" applyBorder="1" applyAlignment="1">
      <alignment horizontal="right"/>
    </xf>
    <xf numFmtId="0" fontId="25" fillId="15" borderId="1" xfId="0" applyFont="1" applyFill="1" applyBorder="1"/>
    <xf numFmtId="10" fontId="25" fillId="15" borderId="1" xfId="0" applyNumberFormat="1" applyFont="1" applyFill="1" applyBorder="1" applyAlignment="1">
      <alignment horizontal="right"/>
    </xf>
    <xf numFmtId="10" fontId="35" fillId="0" borderId="1" xfId="0" applyNumberFormat="1" applyFont="1" applyBorder="1" applyAlignment="1">
      <alignment horizontal="right"/>
    </xf>
    <xf numFmtId="0" fontId="36" fillId="0" borderId="0" xfId="0" applyFont="1"/>
    <xf numFmtId="0" fontId="33" fillId="0" borderId="1" xfId="0" applyFont="1" applyBorder="1" applyAlignment="1">
      <alignment horizontal="center"/>
    </xf>
    <xf numFmtId="175" fontId="32" fillId="0" borderId="1" xfId="0" applyNumberFormat="1" applyFont="1" applyBorder="1" applyAlignment="1">
      <alignment horizontal="right"/>
    </xf>
    <xf numFmtId="175" fontId="31" fillId="0" borderId="1" xfId="0" applyNumberFormat="1" applyFont="1" applyBorder="1" applyAlignment="1">
      <alignment horizontal="right"/>
    </xf>
    <xf numFmtId="175" fontId="24" fillId="0" borderId="1" xfId="0" applyNumberFormat="1" applyFont="1" applyBorder="1" applyAlignment="1">
      <alignment horizontal="right"/>
    </xf>
    <xf numFmtId="168" fontId="31" fillId="0" borderId="1" xfId="0" applyNumberFormat="1" applyFont="1" applyBorder="1" applyAlignment="1">
      <alignment horizontal="right"/>
    </xf>
    <xf numFmtId="168" fontId="24" fillId="0" borderId="1" xfId="0" applyNumberFormat="1" applyFont="1" applyBorder="1" applyAlignment="1">
      <alignment horizontal="right"/>
    </xf>
    <xf numFmtId="0" fontId="27" fillId="0" borderId="1" xfId="0" applyFont="1" applyBorder="1"/>
    <xf numFmtId="176" fontId="32" fillId="0" borderId="1" xfId="0" applyNumberFormat="1" applyFont="1" applyBorder="1" applyAlignment="1">
      <alignment horizontal="right"/>
    </xf>
    <xf numFmtId="175" fontId="25" fillId="15" borderId="1" xfId="0" applyNumberFormat="1" applyFont="1" applyFill="1" applyBorder="1" applyAlignment="1">
      <alignment horizontal="right"/>
    </xf>
    <xf numFmtId="165" fontId="25" fillId="15" borderId="1" xfId="0" applyNumberFormat="1" applyFont="1" applyFill="1" applyBorder="1" applyAlignment="1">
      <alignment horizontal="right"/>
    </xf>
    <xf numFmtId="165" fontId="32" fillId="0" borderId="1" xfId="0" applyNumberFormat="1" applyFont="1" applyBorder="1" applyAlignment="1">
      <alignment horizontal="right"/>
    </xf>
    <xf numFmtId="169" fontId="13" fillId="5" borderId="0" xfId="0" applyNumberFormat="1" applyFont="1" applyFill="1"/>
    <xf numFmtId="169" fontId="13" fillId="0" borderId="0" xfId="0" applyNumberFormat="1" applyFont="1"/>
    <xf numFmtId="164" fontId="13" fillId="0" borderId="0" xfId="0" applyNumberFormat="1" applyFont="1"/>
    <xf numFmtId="0" fontId="13" fillId="0" borderId="0" xfId="0" applyFont="1"/>
    <xf numFmtId="168" fontId="2" fillId="0" borderId="0" xfId="0" applyNumberFormat="1" applyFont="1"/>
    <xf numFmtId="168" fontId="32" fillId="0" borderId="1" xfId="0" applyNumberFormat="1" applyFont="1" applyBorder="1" applyAlignment="1">
      <alignment horizontal="right"/>
    </xf>
    <xf numFmtId="0" fontId="2" fillId="0" borderId="8" xfId="0" applyFont="1" applyBorder="1"/>
    <xf numFmtId="168" fontId="4" fillId="0" borderId="9" xfId="0" applyNumberFormat="1" applyFont="1" applyBorder="1"/>
    <xf numFmtId="169" fontId="3" fillId="0" borderId="9" xfId="0" applyNumberFormat="1" applyFont="1" applyBorder="1"/>
    <xf numFmtId="169" fontId="4" fillId="0" borderId="9" xfId="0" applyNumberFormat="1" applyFont="1" applyBorder="1"/>
    <xf numFmtId="164" fontId="3" fillId="0" borderId="9" xfId="0" applyNumberFormat="1" applyFont="1" applyBorder="1"/>
    <xf numFmtId="0" fontId="2" fillId="0" borderId="10" xfId="0" applyFont="1" applyBorder="1"/>
    <xf numFmtId="0" fontId="3" fillId="5" borderId="11" xfId="0" applyFont="1" applyFill="1" applyBorder="1"/>
    <xf numFmtId="0" fontId="3" fillId="0" borderId="11" xfId="0" applyFont="1" applyBorder="1"/>
    <xf numFmtId="0" fontId="3" fillId="0" borderId="12" xfId="0" applyFont="1" applyBorder="1"/>
    <xf numFmtId="0" fontId="2" fillId="0" borderId="13" xfId="0" applyFont="1" applyBorder="1"/>
    <xf numFmtId="170" fontId="2" fillId="5" borderId="14" xfId="0" applyNumberFormat="1" applyFont="1" applyFill="1" applyBorder="1"/>
    <xf numFmtId="170" fontId="2" fillId="0" borderId="14" xfId="0" applyNumberFormat="1" applyFont="1" applyBorder="1"/>
    <xf numFmtId="170" fontId="2" fillId="0" borderId="15" xfId="0" applyNumberFormat="1" applyFont="1" applyBorder="1"/>
    <xf numFmtId="0" fontId="3" fillId="0" borderId="16" xfId="0" applyFont="1" applyBorder="1"/>
    <xf numFmtId="168" fontId="4" fillId="0" borderId="7" xfId="0" applyNumberFormat="1" applyFont="1" applyBorder="1"/>
    <xf numFmtId="169" fontId="3" fillId="0" borderId="7" xfId="0" applyNumberFormat="1" applyFont="1" applyBorder="1"/>
    <xf numFmtId="169" fontId="4" fillId="0" borderId="7" xfId="0" applyNumberFormat="1" applyFont="1" applyBorder="1"/>
    <xf numFmtId="164" fontId="3" fillId="0" borderId="7" xfId="0" applyNumberFormat="1" applyFont="1" applyBorder="1"/>
    <xf numFmtId="170" fontId="2" fillId="0" borderId="17" xfId="0" applyNumberFormat="1" applyFont="1" applyBorder="1"/>
    <xf numFmtId="0" fontId="3" fillId="0" borderId="18" xfId="0" applyFont="1" applyBorder="1"/>
    <xf numFmtId="168" fontId="4" fillId="0" borderId="6" xfId="0" applyNumberFormat="1" applyFont="1" applyBorder="1"/>
    <xf numFmtId="169" fontId="3" fillId="0" borderId="6" xfId="0" applyNumberFormat="1" applyFont="1" applyBorder="1"/>
    <xf numFmtId="169" fontId="4" fillId="0" borderId="6" xfId="0" applyNumberFormat="1" applyFont="1" applyBorder="1"/>
    <xf numFmtId="164" fontId="3" fillId="0" borderId="6" xfId="0" applyNumberFormat="1" applyFont="1" applyBorder="1"/>
    <xf numFmtId="170" fontId="2" fillId="0" borderId="19" xfId="0" applyNumberFormat="1" applyFont="1" applyBorder="1"/>
    <xf numFmtId="0" fontId="3" fillId="0" borderId="20" xfId="0" applyFont="1" applyBorder="1"/>
    <xf numFmtId="168" fontId="4" fillId="0" borderId="21" xfId="0" applyNumberFormat="1" applyFont="1" applyBorder="1"/>
    <xf numFmtId="169" fontId="3" fillId="0" borderId="21" xfId="0" applyNumberFormat="1" applyFont="1" applyBorder="1"/>
    <xf numFmtId="169" fontId="4" fillId="0" borderId="21" xfId="0" applyNumberFormat="1" applyFont="1" applyBorder="1"/>
    <xf numFmtId="164" fontId="3" fillId="0" borderId="21" xfId="0" applyNumberFormat="1" applyFont="1" applyBorder="1"/>
    <xf numFmtId="170" fontId="2" fillId="0" borderId="22" xfId="0" applyNumberFormat="1" applyFont="1" applyBorder="1"/>
    <xf numFmtId="0" fontId="3" fillId="5" borderId="20" xfId="0" applyFont="1" applyFill="1" applyBorder="1"/>
    <xf numFmtId="168" fontId="4" fillId="5" borderId="21" xfId="0" applyNumberFormat="1" applyFont="1" applyFill="1" applyBorder="1"/>
    <xf numFmtId="169" fontId="3" fillId="5" borderId="21" xfId="0" applyNumberFormat="1" applyFont="1" applyFill="1" applyBorder="1"/>
    <xf numFmtId="169" fontId="4" fillId="5" borderId="21" xfId="0" applyNumberFormat="1" applyFont="1" applyFill="1" applyBorder="1"/>
    <xf numFmtId="164" fontId="3" fillId="5" borderId="21" xfId="0" applyNumberFormat="1" applyFont="1" applyFill="1" applyBorder="1"/>
    <xf numFmtId="170" fontId="2" fillId="5" borderId="22" xfId="0" applyNumberFormat="1" applyFont="1" applyFill="1" applyBorder="1"/>
    <xf numFmtId="0" fontId="30" fillId="11" borderId="23" xfId="0" applyFont="1" applyFill="1" applyBorder="1" applyAlignment="1">
      <alignment horizontal="center" vertical="center"/>
    </xf>
    <xf numFmtId="0" fontId="37" fillId="16" borderId="23" xfId="0" applyFont="1" applyFill="1" applyBorder="1" applyAlignment="1">
      <alignment horizontal="center" vertical="top" wrapText="1"/>
    </xf>
    <xf numFmtId="0" fontId="37" fillId="16" borderId="0" xfId="0" applyFont="1" applyFill="1" applyAlignment="1">
      <alignment horizontal="center" vertical="top" wrapText="1"/>
    </xf>
    <xf numFmtId="0" fontId="37" fillId="17" borderId="0" xfId="0" applyFont="1" applyFill="1" applyAlignment="1">
      <alignment horizontal="center" vertical="top" wrapText="1"/>
    </xf>
    <xf numFmtId="0" fontId="37" fillId="18" borderId="23" xfId="0" applyFont="1" applyFill="1" applyBorder="1" applyAlignment="1">
      <alignment horizontal="center" vertical="top" wrapText="1"/>
    </xf>
    <xf numFmtId="0" fontId="37" fillId="18" borderId="0" xfId="0" applyFont="1" applyFill="1" applyAlignment="1">
      <alignment horizontal="center" vertical="top" wrapText="1"/>
    </xf>
    <xf numFmtId="0" fontId="37" fillId="17" borderId="23" xfId="0" applyFont="1" applyFill="1" applyBorder="1" applyAlignment="1">
      <alignment horizontal="center" vertical="top" wrapText="1"/>
    </xf>
    <xf numFmtId="0" fontId="27" fillId="3" borderId="5" xfId="0" applyFont="1" applyFill="1" applyBorder="1" applyAlignment="1">
      <alignment horizontal="center" vertical="center"/>
    </xf>
    <xf numFmtId="0" fontId="37" fillId="16" borderId="0" xfId="0" applyFont="1" applyFill="1" applyAlignment="1">
      <alignment horizontal="center"/>
    </xf>
    <xf numFmtId="0" fontId="38" fillId="0" borderId="0" xfId="0" applyFont="1"/>
    <xf numFmtId="0" fontId="37" fillId="17" borderId="0" xfId="0" applyFont="1" applyFill="1" applyAlignment="1">
      <alignment horizontal="center"/>
    </xf>
    <xf numFmtId="0" fontId="37" fillId="18" borderId="0" xfId="0" applyFont="1" applyFill="1" applyAlignment="1">
      <alignment horizontal="center"/>
    </xf>
    <xf numFmtId="0" fontId="37" fillId="19" borderId="0" xfId="0" applyFont="1" applyFill="1" applyAlignment="1">
      <alignment horizontal="center"/>
    </xf>
    <xf numFmtId="0" fontId="17" fillId="0" borderId="0" xfId="0" applyFont="1" applyAlignment="1">
      <alignment horizontal="right"/>
    </xf>
    <xf numFmtId="0" fontId="5" fillId="0" borderId="1" xfId="0" applyFont="1" applyBorder="1" applyAlignment="1">
      <alignment vertical="top"/>
    </xf>
    <xf numFmtId="0" fontId="2" fillId="0" borderId="0" xfId="0" applyFont="1" applyAlignment="1">
      <alignment horizontal="left" vertical="center"/>
    </xf>
    <xf numFmtId="0" fontId="11" fillId="0" borderId="0" xfId="0" applyFont="1" applyAlignment="1">
      <alignment vertical="top" wrapText="1"/>
    </xf>
    <xf numFmtId="0" fontId="3" fillId="0" borderId="0" xfId="0" applyFont="1" applyAlignment="1">
      <alignment vertical="top" wrapText="1"/>
    </xf>
    <xf numFmtId="0" fontId="21" fillId="2" borderId="0" xfId="0" applyFont="1" applyFill="1"/>
    <xf numFmtId="0" fontId="6" fillId="7" borderId="1" xfId="0" applyFont="1" applyFill="1" applyBorder="1" applyAlignment="1">
      <alignment horizontal="center" wrapText="1"/>
    </xf>
    <xf numFmtId="0" fontId="6" fillId="8" borderId="1" xfId="0" applyFont="1" applyFill="1" applyBorder="1"/>
    <xf numFmtId="0" fontId="2" fillId="2" borderId="0" xfId="0" applyFont="1" applyFill="1" applyAlignment="1">
      <alignment horizontal="left" vertical="top" wrapText="1"/>
    </xf>
    <xf numFmtId="0" fontId="11" fillId="0" borderId="0" xfId="0" applyFont="1"/>
    <xf numFmtId="0" fontId="1" fillId="0" borderId="0" xfId="0" applyFont="1"/>
    <xf numFmtId="0" fontId="6" fillId="2" borderId="1" xfId="0" applyFont="1" applyFill="1" applyBorder="1"/>
    <xf numFmtId="0" fontId="6" fillId="2" borderId="0" xfId="0" applyFont="1" applyFill="1"/>
    <xf numFmtId="0" fontId="2" fillId="0" borderId="0" xfId="0" applyFont="1" applyAlignment="1">
      <alignment vertical="center"/>
    </xf>
    <xf numFmtId="0" fontId="3" fillId="0" borderId="0" xfId="0" applyFont="1" applyAlignment="1">
      <alignment horizontal="left" vertical="top" wrapText="1"/>
    </xf>
    <xf numFmtId="0" fontId="22" fillId="9" borderId="0" xfId="0" applyFont="1" applyFill="1" applyAlignment="1">
      <alignment horizontal="left" vertical="center" indent="1"/>
    </xf>
    <xf numFmtId="0" fontId="11" fillId="0" borderId="0" xfId="0" applyFont="1" applyAlignment="1">
      <alignment horizontal="left" vertical="top" wrapText="1"/>
    </xf>
    <xf numFmtId="0" fontId="39"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2E75B6"/>
      <rgbColor rgb="FFCCCCCC"/>
      <rgbColor rgb="FF808080"/>
      <rgbColor rgb="FF7F7F7F"/>
      <rgbColor rgb="FF7030A0"/>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6E4F0"/>
      <rgbColor rgb="FFE2EFDA"/>
      <rgbColor rgb="FFFFE699"/>
      <rgbColor rgb="FFB3B3B3"/>
      <rgbColor rgb="FFFF99CC"/>
      <rgbColor rgb="FFCC99FF"/>
      <rgbColor rgb="FFF2F2F2"/>
      <rgbColor rgb="FF4472C4"/>
      <rgbColor rgb="FF33CCCC"/>
      <rgbColor rgb="FF99CC00"/>
      <rgbColor rgb="FFFFCC00"/>
      <rgbColor rgb="FFBF8F00"/>
      <rgbColor rgb="FFED7D31"/>
      <rgbColor rgb="FF595959"/>
      <rgbColor rgb="FF999999"/>
      <rgbColor rgb="FF003366"/>
      <rgbColor rgb="FF00B050"/>
      <rgbColor rgb="FF003300"/>
      <rgbColor rgb="FF333300"/>
      <rgbColor rgb="FFC65911"/>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Electronic Arts, Inc. — Valuation Summary</a:t>
            </a:r>
          </a:p>
        </c:rich>
      </c:tx>
      <c:overlay val="0"/>
      <c:spPr>
        <a:noFill/>
        <a:ln w="0">
          <a:noFill/>
        </a:ln>
      </c:spPr>
    </c:title>
    <c:autoTitleDeleted val="0"/>
    <c:plotArea>
      <c:layout/>
      <c:barChart>
        <c:barDir val="bar"/>
        <c:grouping val="stacked"/>
        <c:varyColors val="0"/>
        <c:ser>
          <c:idx val="0"/>
          <c:order val="0"/>
          <c:spPr>
            <a:no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 Data'!$A$14:$A$17</c:f>
              <c:strCache>
                <c:ptCount val="4"/>
                <c:pt idx="0">
                  <c:v>LBO analysis (20% IRR at 16x – 20x exit)</c:v>
                </c:pt>
                <c:pt idx="1">
                  <c:v>Discounted cash flow (7.5% – 9.5% WACC)</c:v>
                </c:pt>
                <c:pt idx="2">
                  <c:v>Precedent transactions (EV / FY27E EBITDA)</c:v>
                </c:pt>
                <c:pt idx="3">
                  <c:v>Comparable companies (EV / FY27E EBITDA)</c:v>
                </c:pt>
              </c:strCache>
            </c:strRef>
          </c:cat>
          <c:val>
            <c:numRef>
              <c:f>'Chart Data'!$D$14:$D$17</c:f>
              <c:numCache>
                <c:formatCode>\$#,##0.00</c:formatCode>
                <c:ptCount val="4"/>
                <c:pt idx="0">
                  <c:v>163.53406545069009</c:v>
                </c:pt>
                <c:pt idx="1">
                  <c:v>137</c:v>
                </c:pt>
                <c:pt idx="2">
                  <c:v>187.1356783919598</c:v>
                </c:pt>
                <c:pt idx="3">
                  <c:v>163.91959798994975</c:v>
                </c:pt>
              </c:numCache>
            </c:numRef>
          </c:val>
          <c:extLst>
            <c:ext xmlns:c16="http://schemas.microsoft.com/office/drawing/2014/chart" uri="{C3380CC4-5D6E-409C-BE32-E72D297353CC}">
              <c16:uniqueId val="{00000000-3BDA-4010-A5B3-013E175FD4C0}"/>
            </c:ext>
          </c:extLst>
        </c:ser>
        <c:ser>
          <c:idx val="1"/>
          <c:order val="1"/>
          <c:spPr>
            <a:solidFill>
              <a:srgbClr val="4472C4"/>
            </a:solidFill>
            <a:ln w="0">
              <a:solidFill>
                <a:srgbClr val="4472C4"/>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 Data'!$A$14:$A$17</c:f>
              <c:strCache>
                <c:ptCount val="4"/>
                <c:pt idx="0">
                  <c:v>LBO analysis (20% IRR at 16x – 20x exit)</c:v>
                </c:pt>
                <c:pt idx="1">
                  <c:v>Discounted cash flow (7.5% – 9.5% WACC)</c:v>
                </c:pt>
                <c:pt idx="2">
                  <c:v>Precedent transactions (EV / FY27E EBITDA)</c:v>
                </c:pt>
                <c:pt idx="3">
                  <c:v>Comparable companies (EV / FY27E EBITDA)</c:v>
                </c:pt>
              </c:strCache>
            </c:strRef>
          </c:cat>
          <c:val>
            <c:numRef>
              <c:f>'Chart Data'!$E$14:$E$17</c:f>
              <c:numCache>
                <c:formatCode>\$#,##0.00</c:formatCode>
                <c:ptCount val="4"/>
                <c:pt idx="0">
                  <c:v>27.962103967129082</c:v>
                </c:pt>
                <c:pt idx="1">
                  <c:v>83</c:v>
                </c:pt>
                <c:pt idx="2">
                  <c:v>46.4321608040201</c:v>
                </c:pt>
                <c:pt idx="3">
                  <c:v>69.64824120603015</c:v>
                </c:pt>
              </c:numCache>
            </c:numRef>
          </c:val>
          <c:extLst>
            <c:ext xmlns:c16="http://schemas.microsoft.com/office/drawing/2014/chart" uri="{C3380CC4-5D6E-409C-BE32-E72D297353CC}">
              <c16:uniqueId val="{00000001-3BDA-4010-A5B3-013E175FD4C0}"/>
            </c:ext>
          </c:extLst>
        </c:ser>
        <c:dLbls>
          <c:showLegendKey val="0"/>
          <c:showVal val="0"/>
          <c:showCatName val="0"/>
          <c:showSerName val="0"/>
          <c:showPercent val="0"/>
          <c:showBubbleSize val="0"/>
        </c:dLbls>
        <c:gapWidth val="80"/>
        <c:overlap val="100"/>
        <c:axId val="98167154"/>
        <c:axId val="84809066"/>
      </c:barChart>
      <c:catAx>
        <c:axId val="98167154"/>
        <c:scaling>
          <c:orientation val="minMax"/>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4809066"/>
        <c:crosses val="autoZero"/>
        <c:auto val="1"/>
        <c:lblAlgn val="ctr"/>
        <c:lblOffset val="100"/>
        <c:noMultiLvlLbl val="0"/>
      </c:catAx>
      <c:valAx>
        <c:axId val="84809066"/>
        <c:scaling>
          <c:orientation val="minMax"/>
          <c:max val="260"/>
          <c:min val="0"/>
        </c:scaling>
        <c:delete val="0"/>
        <c:axPos val="b"/>
        <c:majorGridlines>
          <c:spPr>
            <a:ln w="0">
              <a:solidFill>
                <a:srgbClr val="B3B3B3"/>
              </a:solidFill>
            </a:ln>
          </c:spPr>
        </c:majorGridlines>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Implied equity value per share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8167154"/>
        <c:crosses val="autoZero"/>
        <c:crossBetween val="between"/>
        <c:majorUnit val="50"/>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39</xdr:row>
      <xdr:rowOff>12600</xdr:rowOff>
    </xdr:from>
    <xdr:to>
      <xdr:col>5</xdr:col>
      <xdr:colOff>1324080</xdr:colOff>
      <xdr:row>62</xdr:row>
      <xdr:rowOff>167400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xdr:colOff>
      <xdr:row>41</xdr:row>
      <xdr:rowOff>137160</xdr:rowOff>
    </xdr:from>
    <xdr:to>
      <xdr:col>5</xdr:col>
      <xdr:colOff>114300</xdr:colOff>
      <xdr:row>60</xdr:row>
      <xdr:rowOff>7620</xdr:rowOff>
    </xdr:to>
    <xdr:cxnSp macro="">
      <xdr:nvCxnSpPr>
        <xdr:cNvPr id="4" name="Straight Connector 3">
          <a:extLst>
            <a:ext uri="{FF2B5EF4-FFF2-40B4-BE49-F238E27FC236}">
              <a16:creationId xmlns:a16="http://schemas.microsoft.com/office/drawing/2014/main" id="{A3064D40-6530-8CE0-286D-241D757D571E}"/>
            </a:ext>
          </a:extLst>
        </xdr:cNvPr>
        <xdr:cNvCxnSpPr/>
      </xdr:nvCxnSpPr>
      <xdr:spPr>
        <a:xfrm>
          <a:off x="6499860" y="8267700"/>
          <a:ext cx="30480" cy="3345180"/>
        </a:xfrm>
        <a:prstGeom prst="line">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989F962-6638-41A5-B952-6F68F22FF874}">
  <we:reference id="WA200009404" version="1.0.0.8" store="Omex" storeType="OMEX"/>
  <we:alternateReferences>
    <we:reference id="WA200009404" version="1.0.0.8" store="WA200009404" storeType="OMEX"/>
  </we:alternateReferences>
  <we:properties>
    <we:property name="claude.fileId" value="&quot;9ab49dbf-2789-4871-adb1-cd27bb32cba2&quot;"/>
  </we:properties>
  <we:bindings/>
  <we:snapshot xmlns:r="http://schemas.openxmlformats.org/officeDocument/2006/relationships"/>
</we:webextension>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8" Type="http://schemas.openxmlformats.org/officeDocument/2006/relationships/hyperlink" Target="https://ir.ea.com/financial-information/quarterly-results" TargetMode="External"/><Relationship Id="rId13" Type="http://schemas.openxmlformats.org/officeDocument/2006/relationships/hyperlink" Target="https://ir.netease.com/sec-filings" TargetMode="External"/><Relationship Id="rId18" Type="http://schemas.openxmlformats.org/officeDocument/2006/relationships/hyperlink" Target="https://www.investegate.co.uk/announcement/keywords-studios" TargetMode="External"/><Relationship Id="rId26" Type="http://schemas.openxmlformats.org/officeDocument/2006/relationships/hyperlink" Target="https://pages.stern.nyu.edu/~adamodar/" TargetMode="External"/><Relationship Id="rId3" Type="http://schemas.openxmlformats.org/officeDocument/2006/relationships/hyperlink" Target="https://www.sec.gov/cgi-bin/browse-edgar?action=getcompany&amp;CIK=0000712515&amp;type=DEFA14A" TargetMode="External"/><Relationship Id="rId21" Type="http://schemas.openxmlformats.org/officeDocument/2006/relationships/hyperlink" Target="https://www.ea.com/news/ea-acquires-playdemic" TargetMode="External"/><Relationship Id="rId7" Type="http://schemas.openxmlformats.org/officeDocument/2006/relationships/hyperlink" Target="https://www.sec.gov/cgi-bin/browse-edgar?action=getcompany&amp;CIK=0000712515&amp;type=10-Q" TargetMode="External"/><Relationship Id="rId12" Type="http://schemas.openxmlformats.org/officeDocument/2006/relationships/hyperlink" Target="https://ir.take2games.com/sec-filings" TargetMode="External"/><Relationship Id="rId17" Type="http://schemas.openxmlformats.org/officeDocument/2006/relationships/hyperlink" Target="https://www.ea.com/news/electronic-arts-completes-acquisition-of-glu-mobile" TargetMode="External"/><Relationship Id="rId25" Type="http://schemas.openxmlformats.org/officeDocument/2006/relationships/hyperlink" Target="https://www.sec.gov/cgi-bin/browse-edgar?action=getcompany&amp;CIK=0000712515&amp;type=8-K" TargetMode="External"/><Relationship Id="rId2" Type="http://schemas.openxmlformats.org/officeDocument/2006/relationships/hyperlink" Target="https://www.sec.gov/cgi-bin/browse-edgar?action=getcompany&amp;CIK=0000712515&amp;type=DEF" TargetMode="External"/><Relationship Id="rId16" Type="http://schemas.openxmlformats.org/officeDocument/2006/relationships/hyperlink" Target="https://www.take-two.com/news/" TargetMode="External"/><Relationship Id="rId20" Type="http://schemas.openxmlformats.org/officeDocument/2006/relationships/hyperlink" Target="https://embracer.com/release/2022/" TargetMode="External"/><Relationship Id="rId1" Type="http://schemas.openxmlformats.org/officeDocument/2006/relationships/hyperlink" Target="https://www.sec.gov/cgi-bin/browse-edgar?action=getcompany&amp;CIK=0000712515&amp;type=8-K" TargetMode="External"/><Relationship Id="rId6" Type="http://schemas.openxmlformats.org/officeDocument/2006/relationships/hyperlink" Target="https://www.sec.gov/cgi-bin/browse-edgar?action=getcompany&amp;CIK=0000712515&amp;type=10-K" TargetMode="External"/><Relationship Id="rId11" Type="http://schemas.openxmlformats.org/officeDocument/2006/relationships/hyperlink" Target="https://www.sec.gov/cgi-bin/browse-edgar?action=getcompany&amp;CIK=0000712515&amp;type=DEFA14A" TargetMode="External"/><Relationship Id="rId24" Type="http://schemas.openxmlformats.org/officeDocument/2006/relationships/hyperlink" Target="https://www.ft.com/" TargetMode="External"/><Relationship Id="rId5" Type="http://schemas.openxmlformats.org/officeDocument/2006/relationships/hyperlink" Target="https://www.sec.gov/cgi-bin/browse-edgar?action=getcompany&amp;CIK=0000712515&amp;type=10-K" TargetMode="External"/><Relationship Id="rId15" Type="http://schemas.openxmlformats.org/officeDocument/2006/relationships/hyperlink" Target="https://news.microsoft.com/2022/01/18/microsoft-to-acquire-activision-blizzard/" TargetMode="External"/><Relationship Id="rId23" Type="http://schemas.openxmlformats.org/officeDocument/2006/relationships/hyperlink" Target="https://www.prnewswire.com/news-releases/oak-eagle-tender-offer/" TargetMode="External"/><Relationship Id="rId10" Type="http://schemas.openxmlformats.org/officeDocument/2006/relationships/hyperlink" Target="https://www.sec.gov/cgi-bin/browse-edgar?action=getcompany&amp;CIK=0000712515&amp;type=DEFA14A" TargetMode="External"/><Relationship Id="rId19" Type="http://schemas.openxmlformats.org/officeDocument/2006/relationships/hyperlink" Target="https://www.sie.com/en/corporate/release/2022/220131.html" TargetMode="External"/><Relationship Id="rId4" Type="http://schemas.openxmlformats.org/officeDocument/2006/relationships/hyperlink" Target="https://www.sec.gov/cgi-bin/browse-edgar?action=getcompany&amp;CIK=0000712515&amp;type=8-K" TargetMode="External"/><Relationship Id="rId9" Type="http://schemas.openxmlformats.org/officeDocument/2006/relationships/hyperlink" Target="https://www.sec.gov/cgi-bin/browse-edgar?action=getcompany&amp;CIK=0000712515&amp;type=DEF" TargetMode="External"/><Relationship Id="rId14" Type="http://schemas.openxmlformats.org/officeDocument/2006/relationships/hyperlink" Target="https://ir.roblox.com/sec-filings" TargetMode="External"/><Relationship Id="rId22" Type="http://schemas.openxmlformats.org/officeDocument/2006/relationships/hyperlink" Target="https://news.microsoft.com/2020/09/21/microsoft-to-acquire-zenima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F38F1-5266-4B33-A212-AA8021303D4E}">
  <dimension ref="A1:A5"/>
  <sheetViews>
    <sheetView tabSelected="1" workbookViewId="0"/>
  </sheetViews>
  <sheetFormatPr defaultRowHeight="14.4" x14ac:dyDescent="0.3"/>
  <cols>
    <col min="1" max="1" width="110.77734375" customWidth="1"/>
  </cols>
  <sheetData>
    <row r="1" spans="1:1" ht="21" x14ac:dyDescent="0.4">
      <c r="A1" s="285" t="s">
        <v>1076</v>
      </c>
    </row>
    <row r="3" spans="1:1" ht="90" customHeight="1" x14ac:dyDescent="0.3">
      <c r="A3" s="286" t="s">
        <v>1077</v>
      </c>
    </row>
    <row r="5" spans="1:1" x14ac:dyDescent="0.3">
      <c r="A5" t="s">
        <v>1078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C58"/>
  <sheetViews>
    <sheetView zoomScale="80" zoomScaleNormal="80" workbookViewId="0">
      <selection activeCell="C40" sqref="C40"/>
    </sheetView>
  </sheetViews>
  <sheetFormatPr defaultColWidth="8.6640625" defaultRowHeight="14.4" x14ac:dyDescent="0.3"/>
  <cols>
    <col min="1" max="1" width="48" customWidth="1"/>
    <col min="2" max="2" width="66.21875" customWidth="1"/>
    <col min="3" max="3" width="55" customWidth="1"/>
  </cols>
  <sheetData>
    <row r="1" spans="1:3" ht="15.75" customHeight="1" x14ac:dyDescent="0.3">
      <c r="A1" s="2" t="s">
        <v>0</v>
      </c>
    </row>
    <row r="3" spans="1:3" ht="15" customHeight="1" x14ac:dyDescent="0.3">
      <c r="A3" s="7" t="s">
        <v>1</v>
      </c>
      <c r="B3" s="8"/>
      <c r="C3" s="8"/>
    </row>
    <row r="4" spans="1:3" ht="15" customHeight="1" x14ac:dyDescent="0.3">
      <c r="A4" s="9" t="s">
        <v>2</v>
      </c>
      <c r="B4" s="10" t="s">
        <v>3</v>
      </c>
      <c r="C4" s="11" t="s">
        <v>4</v>
      </c>
    </row>
    <row r="5" spans="1:3" ht="15" customHeight="1" x14ac:dyDescent="0.3">
      <c r="A5" s="9" t="s">
        <v>5</v>
      </c>
      <c r="B5" s="10" t="s">
        <v>6</v>
      </c>
      <c r="C5" s="12" t="s">
        <v>7</v>
      </c>
    </row>
    <row r="6" spans="1:3" ht="15" customHeight="1" x14ac:dyDescent="0.3">
      <c r="A6" s="9" t="s">
        <v>8</v>
      </c>
      <c r="B6" s="10" t="s">
        <v>9</v>
      </c>
      <c r="C6" s="12" t="s">
        <v>10</v>
      </c>
    </row>
    <row r="7" spans="1:3" ht="15" customHeight="1" x14ac:dyDescent="0.3">
      <c r="A7" s="9" t="s">
        <v>11</v>
      </c>
      <c r="B7" s="10" t="s">
        <v>12</v>
      </c>
      <c r="C7" s="12" t="s">
        <v>13</v>
      </c>
    </row>
    <row r="8" spans="1:3" ht="15" customHeight="1" x14ac:dyDescent="0.3">
      <c r="A8" s="9" t="s">
        <v>14</v>
      </c>
      <c r="B8" s="13">
        <v>210</v>
      </c>
      <c r="C8" s="12" t="s">
        <v>15</v>
      </c>
    </row>
    <row r="9" spans="1:3" ht="15" customHeight="1" x14ac:dyDescent="0.3">
      <c r="A9" s="9" t="s">
        <v>16</v>
      </c>
      <c r="B9" s="13">
        <v>168.32</v>
      </c>
      <c r="C9" s="11" t="s">
        <v>17</v>
      </c>
    </row>
    <row r="10" spans="1:3" ht="15" customHeight="1" x14ac:dyDescent="0.3">
      <c r="A10" s="9" t="s">
        <v>18</v>
      </c>
      <c r="B10" s="13">
        <v>179.01</v>
      </c>
      <c r="C10" s="12" t="s">
        <v>19</v>
      </c>
    </row>
    <row r="11" spans="1:3" ht="15" customHeight="1" x14ac:dyDescent="0.3">
      <c r="A11" s="9" t="s">
        <v>20</v>
      </c>
      <c r="B11" s="177">
        <v>55000</v>
      </c>
      <c r="C11" s="12" t="s">
        <v>21</v>
      </c>
    </row>
    <row r="13" spans="1:3" ht="15" customHeight="1" x14ac:dyDescent="0.3">
      <c r="A13" s="7" t="s">
        <v>22</v>
      </c>
      <c r="B13" s="8"/>
      <c r="C13" s="8"/>
    </row>
    <row r="14" spans="1:3" ht="15" customHeight="1" x14ac:dyDescent="0.3">
      <c r="A14" s="9" t="s">
        <v>23</v>
      </c>
      <c r="B14" s="14">
        <f>(210-168.32)/168.32</f>
        <v>0.24762357414448674</v>
      </c>
      <c r="C14" s="12" t="s">
        <v>24</v>
      </c>
    </row>
    <row r="15" spans="1:3" ht="15" customHeight="1" x14ac:dyDescent="0.3">
      <c r="A15" s="9" t="s">
        <v>25</v>
      </c>
      <c r="B15" s="14">
        <f>(210-179.01)/179.01</f>
        <v>0.17311882017764377</v>
      </c>
      <c r="C15" s="12" t="s">
        <v>26</v>
      </c>
    </row>
    <row r="17" spans="1:3" ht="15" customHeight="1" x14ac:dyDescent="0.3">
      <c r="A17" s="7" t="s">
        <v>27</v>
      </c>
      <c r="B17" s="8"/>
      <c r="C17" s="8"/>
    </row>
    <row r="18" spans="1:3" ht="15" customHeight="1" x14ac:dyDescent="0.3">
      <c r="A18" s="9" t="s">
        <v>28</v>
      </c>
      <c r="B18" s="13">
        <v>250.1</v>
      </c>
      <c r="C18" s="11" t="s">
        <v>29</v>
      </c>
    </row>
    <row r="19" spans="1:3" ht="15" customHeight="1" x14ac:dyDescent="0.3">
      <c r="A19" s="9" t="s">
        <v>30</v>
      </c>
      <c r="B19" s="13">
        <v>258.7</v>
      </c>
      <c r="C19" s="11" t="s">
        <v>31</v>
      </c>
    </row>
    <row r="20" spans="1:3" ht="15" customHeight="1" x14ac:dyDescent="0.3">
      <c r="A20" s="9" t="s">
        <v>32</v>
      </c>
      <c r="B20" s="15">
        <v>257</v>
      </c>
      <c r="C20" s="11" t="s">
        <v>33</v>
      </c>
    </row>
    <row r="21" spans="1:3" ht="15" customHeight="1" x14ac:dyDescent="0.3">
      <c r="A21" s="9" t="s">
        <v>34</v>
      </c>
      <c r="B21" s="15">
        <v>264</v>
      </c>
      <c r="C21" s="11" t="s">
        <v>35</v>
      </c>
    </row>
    <row r="23" spans="1:3" ht="15" customHeight="1" x14ac:dyDescent="0.3">
      <c r="A23" s="7" t="s">
        <v>36</v>
      </c>
      <c r="B23" s="8"/>
      <c r="C23" s="8"/>
    </row>
    <row r="24" spans="1:3" ht="15" customHeight="1" x14ac:dyDescent="0.3">
      <c r="A24" s="9" t="s">
        <v>37</v>
      </c>
      <c r="B24" s="15">
        <v>36400</v>
      </c>
      <c r="C24" s="11" t="s">
        <v>38</v>
      </c>
    </row>
    <row r="25" spans="1:3" ht="15" customHeight="1" x14ac:dyDescent="0.3">
      <c r="A25" s="9" t="s">
        <v>39</v>
      </c>
      <c r="B25" s="16">
        <f>0.099*250.106129*210</f>
        <v>5199.7064219100002</v>
      </c>
      <c r="C25" s="11" t="s">
        <v>40</v>
      </c>
    </row>
    <row r="26" spans="1:3" ht="15" customHeight="1" x14ac:dyDescent="0.3">
      <c r="A26" s="9" t="s">
        <v>41</v>
      </c>
      <c r="B26" s="18">
        <f>36400-B25</f>
        <v>31200.293578090001</v>
      </c>
      <c r="C26" s="11" t="s">
        <v>42</v>
      </c>
    </row>
    <row r="27" spans="1:3" ht="15" customHeight="1" x14ac:dyDescent="0.3">
      <c r="A27" s="9" t="s">
        <v>43</v>
      </c>
      <c r="B27" s="15">
        <v>20000</v>
      </c>
      <c r="C27" s="11" t="s">
        <v>44</v>
      </c>
    </row>
    <row r="28" spans="1:3" ht="15" customHeight="1" x14ac:dyDescent="0.3">
      <c r="A28" s="9" t="s">
        <v>45</v>
      </c>
      <c r="B28" s="15">
        <v>18000</v>
      </c>
      <c r="C28" s="11" t="s">
        <v>46</v>
      </c>
    </row>
    <row r="29" spans="1:3" ht="15" customHeight="1" x14ac:dyDescent="0.3">
      <c r="A29" s="9" t="s">
        <v>47</v>
      </c>
      <c r="B29" s="14">
        <f>36400/(36400+18000)</f>
        <v>0.66911764705882348</v>
      </c>
      <c r="C29" s="12" t="s">
        <v>48</v>
      </c>
    </row>
    <row r="30" spans="1:3" ht="15" customHeight="1" x14ac:dyDescent="0.3">
      <c r="A30" s="9" t="s">
        <v>49</v>
      </c>
      <c r="B30" s="14">
        <f>18000/(36400+18000)</f>
        <v>0.33088235294117646</v>
      </c>
      <c r="C30" s="12" t="s">
        <v>50</v>
      </c>
    </row>
    <row r="32" spans="1:3" ht="15" customHeight="1" x14ac:dyDescent="0.3">
      <c r="A32" s="7" t="s">
        <v>51</v>
      </c>
      <c r="B32" s="8"/>
      <c r="C32" s="8"/>
    </row>
    <row r="33" spans="1:3" ht="15" customHeight="1" x14ac:dyDescent="0.3">
      <c r="A33" s="9" t="s">
        <v>52</v>
      </c>
      <c r="B33" s="10" t="s">
        <v>53</v>
      </c>
      <c r="C33" s="12" t="s">
        <v>54</v>
      </c>
    </row>
    <row r="34" spans="1:3" ht="15" customHeight="1" x14ac:dyDescent="0.3">
      <c r="A34" s="9" t="s">
        <v>55</v>
      </c>
      <c r="B34" s="10" t="s">
        <v>56</v>
      </c>
      <c r="C34" s="12" t="s">
        <v>54</v>
      </c>
    </row>
    <row r="35" spans="1:3" ht="15" customHeight="1" x14ac:dyDescent="0.3">
      <c r="A35" s="9" t="s">
        <v>57</v>
      </c>
      <c r="B35" s="10" t="s">
        <v>58</v>
      </c>
      <c r="C35" s="12" t="s">
        <v>59</v>
      </c>
    </row>
    <row r="36" spans="1:3" ht="15" customHeight="1" x14ac:dyDescent="0.3">
      <c r="A36" s="9" t="s">
        <v>60</v>
      </c>
      <c r="B36" s="10" t="s">
        <v>61</v>
      </c>
      <c r="C36" s="12" t="s">
        <v>62</v>
      </c>
    </row>
    <row r="37" spans="1:3" ht="15" customHeight="1" x14ac:dyDescent="0.3">
      <c r="A37" s="9" t="s">
        <v>63</v>
      </c>
      <c r="B37" s="10" t="s">
        <v>64</v>
      </c>
      <c r="C37" s="12" t="s">
        <v>65</v>
      </c>
    </row>
    <row r="38" spans="1:3" ht="15" customHeight="1" x14ac:dyDescent="0.3">
      <c r="A38" s="19" t="s">
        <v>66</v>
      </c>
      <c r="B38" s="20" t="s">
        <v>67</v>
      </c>
      <c r="C38" s="21" t="s">
        <v>68</v>
      </c>
    </row>
    <row r="39" spans="1:3" ht="15" customHeight="1" x14ac:dyDescent="0.3">
      <c r="A39" s="9" t="s">
        <v>69</v>
      </c>
      <c r="B39" s="10" t="s">
        <v>70</v>
      </c>
      <c r="C39" s="12" t="s">
        <v>68</v>
      </c>
    </row>
    <row r="40" spans="1:3" ht="15" customHeight="1" x14ac:dyDescent="0.3">
      <c r="A40" s="9" t="s">
        <v>71</v>
      </c>
      <c r="B40" s="10" t="s">
        <v>72</v>
      </c>
      <c r="C40" s="12" t="s">
        <v>73</v>
      </c>
    </row>
    <row r="41" spans="1:3" ht="15" customHeight="1" x14ac:dyDescent="0.3">
      <c r="A41" s="9" t="s">
        <v>74</v>
      </c>
      <c r="B41" s="10" t="s">
        <v>75</v>
      </c>
      <c r="C41" s="12" t="s">
        <v>76</v>
      </c>
    </row>
    <row r="42" spans="1:3" ht="15" customHeight="1" x14ac:dyDescent="0.3">
      <c r="A42" s="9" t="s">
        <v>77</v>
      </c>
      <c r="B42" s="10" t="s">
        <v>78</v>
      </c>
      <c r="C42" s="12" t="s">
        <v>79</v>
      </c>
    </row>
    <row r="43" spans="1:3" ht="15" customHeight="1" x14ac:dyDescent="0.3">
      <c r="A43" s="9" t="s">
        <v>80</v>
      </c>
      <c r="B43" s="10" t="s">
        <v>81</v>
      </c>
      <c r="C43" s="12" t="s">
        <v>73</v>
      </c>
    </row>
    <row r="44" spans="1:3" ht="15" customHeight="1" x14ac:dyDescent="0.3">
      <c r="A44" s="9" t="s">
        <v>82</v>
      </c>
      <c r="B44" s="10" t="s">
        <v>83</v>
      </c>
      <c r="C44" s="12" t="s">
        <v>84</v>
      </c>
    </row>
    <row r="46" spans="1:3" ht="15" customHeight="1" x14ac:dyDescent="0.3">
      <c r="A46" s="7" t="s">
        <v>85</v>
      </c>
      <c r="B46" s="8"/>
      <c r="C46" s="8"/>
    </row>
    <row r="47" spans="1:3" ht="15" customHeight="1" x14ac:dyDescent="0.3">
      <c r="A47" s="9" t="s">
        <v>86</v>
      </c>
      <c r="B47" s="10" t="s">
        <v>87</v>
      </c>
      <c r="C47" s="12" t="s">
        <v>88</v>
      </c>
    </row>
    <row r="48" spans="1:3" ht="15" customHeight="1" x14ac:dyDescent="0.3">
      <c r="A48" s="9" t="s">
        <v>89</v>
      </c>
      <c r="B48" s="10" t="s">
        <v>90</v>
      </c>
      <c r="C48" s="12" t="s">
        <v>88</v>
      </c>
    </row>
    <row r="49" spans="1:3" ht="15" customHeight="1" x14ac:dyDescent="0.3">
      <c r="A49" s="9" t="s">
        <v>91</v>
      </c>
      <c r="B49" s="10" t="s">
        <v>92</v>
      </c>
      <c r="C49" s="12" t="s">
        <v>93</v>
      </c>
    </row>
    <row r="50" spans="1:3" ht="15" customHeight="1" x14ac:dyDescent="0.3">
      <c r="A50" s="9" t="s">
        <v>94</v>
      </c>
      <c r="B50" s="10" t="s">
        <v>95</v>
      </c>
      <c r="C50" s="12" t="s">
        <v>54</v>
      </c>
    </row>
    <row r="51" spans="1:3" ht="15" customHeight="1" x14ac:dyDescent="0.3">
      <c r="A51" s="9" t="s">
        <v>96</v>
      </c>
      <c r="B51" s="10" t="s">
        <v>97</v>
      </c>
      <c r="C51" s="12" t="s">
        <v>73</v>
      </c>
    </row>
    <row r="53" spans="1:3" ht="14.25" customHeight="1" x14ac:dyDescent="0.3">
      <c r="A53" s="1" t="s">
        <v>98</v>
      </c>
    </row>
    <row r="54" spans="1:3" ht="14.25" customHeight="1" x14ac:dyDescent="0.3">
      <c r="A54" s="22" t="s">
        <v>99</v>
      </c>
      <c r="B54" s="22" t="s">
        <v>100</v>
      </c>
      <c r="C54" s="6" t="s">
        <v>101</v>
      </c>
    </row>
    <row r="55" spans="1:3" ht="14.25" customHeight="1" x14ac:dyDescent="0.3">
      <c r="A55" s="22" t="s">
        <v>102</v>
      </c>
      <c r="B55" s="22" t="s">
        <v>103</v>
      </c>
      <c r="C55" s="6" t="s">
        <v>104</v>
      </c>
    </row>
    <row r="56" spans="1:3" ht="14.25" customHeight="1" x14ac:dyDescent="0.3">
      <c r="A56" s="22" t="s">
        <v>105</v>
      </c>
      <c r="B56" s="22" t="s">
        <v>106</v>
      </c>
      <c r="C56" s="22" t="s">
        <v>107</v>
      </c>
    </row>
    <row r="57" spans="1:3" ht="14.25" customHeight="1" x14ac:dyDescent="0.3"/>
    <row r="58" spans="1:3" ht="14.25" customHeight="1" x14ac:dyDescent="0.3"/>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D44"/>
  <sheetViews>
    <sheetView topLeftCell="A19" zoomScaleNormal="100" workbookViewId="0">
      <selection activeCell="G40" sqref="G40"/>
    </sheetView>
  </sheetViews>
  <sheetFormatPr defaultColWidth="8.6640625" defaultRowHeight="14.4" x14ac:dyDescent="0.3"/>
  <cols>
    <col min="1" max="1" width="48" customWidth="1"/>
    <col min="2" max="2" width="18" customWidth="1"/>
    <col min="3" max="3" width="16" customWidth="1"/>
    <col min="4" max="4" width="55" customWidth="1"/>
  </cols>
  <sheetData>
    <row r="1" spans="1:4" ht="15.75" customHeight="1" x14ac:dyDescent="0.3">
      <c r="A1" s="2" t="s">
        <v>108</v>
      </c>
    </row>
    <row r="2" spans="1:4" ht="15" customHeight="1" x14ac:dyDescent="0.3">
      <c r="A2" s="23" t="s">
        <v>109</v>
      </c>
    </row>
    <row r="4" spans="1:4" ht="15" customHeight="1" x14ac:dyDescent="0.3">
      <c r="A4" s="7" t="s">
        <v>110</v>
      </c>
      <c r="B4" s="8"/>
      <c r="C4" s="8"/>
      <c r="D4" s="8"/>
    </row>
    <row r="5" spans="1:4" ht="15" customHeight="1" x14ac:dyDescent="0.3">
      <c r="A5" s="24"/>
      <c r="B5" s="24" t="s">
        <v>111</v>
      </c>
      <c r="C5" s="24" t="s">
        <v>112</v>
      </c>
      <c r="D5" s="24" t="s">
        <v>113</v>
      </c>
    </row>
    <row r="6" spans="1:4" x14ac:dyDescent="0.3">
      <c r="A6" s="9" t="s">
        <v>14</v>
      </c>
      <c r="C6" s="25">
        <v>210</v>
      </c>
      <c r="D6" s="12" t="s">
        <v>114</v>
      </c>
    </row>
    <row r="7" spans="1:4" ht="15" customHeight="1" x14ac:dyDescent="0.3">
      <c r="A7" s="9" t="s">
        <v>115</v>
      </c>
      <c r="B7" s="26">
        <v>258.7</v>
      </c>
      <c r="D7" s="11" t="s">
        <v>116</v>
      </c>
    </row>
    <row r="8" spans="1:4" ht="15" customHeight="1" x14ac:dyDescent="0.3">
      <c r="A8" s="27" t="s">
        <v>117</v>
      </c>
      <c r="B8" s="28">
        <f>C6*B7</f>
        <v>54327</v>
      </c>
      <c r="C8" s="29">
        <f>C6</f>
        <v>210</v>
      </c>
      <c r="D8" s="12"/>
    </row>
    <row r="9" spans="1:4" x14ac:dyDescent="0.3">
      <c r="A9" s="9"/>
      <c r="D9" s="12"/>
    </row>
    <row r="10" spans="1:4" ht="20.399999999999999" x14ac:dyDescent="0.3">
      <c r="A10" s="9" t="s">
        <v>118</v>
      </c>
      <c r="B10" s="26">
        <v>1884</v>
      </c>
      <c r="C10" s="30">
        <f>B10/B7</f>
        <v>7.2825666795516044</v>
      </c>
      <c r="D10" s="11" t="s">
        <v>119</v>
      </c>
    </row>
    <row r="11" spans="1:4" ht="15" customHeight="1" x14ac:dyDescent="0.3">
      <c r="A11" s="9" t="s">
        <v>120</v>
      </c>
      <c r="B11" s="26">
        <v>67</v>
      </c>
      <c r="C11" s="30">
        <f>B11/B7</f>
        <v>0.25898724391186706</v>
      </c>
      <c r="D11" s="11" t="s">
        <v>121</v>
      </c>
    </row>
    <row r="12" spans="1:4" ht="15" customHeight="1" x14ac:dyDescent="0.3">
      <c r="A12" s="9" t="s">
        <v>122</v>
      </c>
      <c r="B12" s="26">
        <v>0</v>
      </c>
      <c r="C12" s="30">
        <f>B12/B7</f>
        <v>0</v>
      </c>
      <c r="D12" s="12" t="s">
        <v>123</v>
      </c>
    </row>
    <row r="13" spans="1:4" ht="15" customHeight="1" x14ac:dyDescent="0.3">
      <c r="A13" s="9" t="s">
        <v>124</v>
      </c>
      <c r="B13" s="26">
        <v>-2136</v>
      </c>
      <c r="C13" s="30">
        <f>B13/B7</f>
        <v>-8.2566679551604185</v>
      </c>
      <c r="D13" s="11" t="s">
        <v>125</v>
      </c>
    </row>
    <row r="14" spans="1:4" ht="15" customHeight="1" x14ac:dyDescent="0.3">
      <c r="A14" s="9" t="s">
        <v>126</v>
      </c>
      <c r="B14" s="26">
        <v>-112</v>
      </c>
      <c r="C14" s="30">
        <f>B14/B7</f>
        <v>-0.4329339002705837</v>
      </c>
      <c r="D14" s="11" t="s">
        <v>127</v>
      </c>
    </row>
    <row r="15" spans="1:4" ht="15" customHeight="1" x14ac:dyDescent="0.3">
      <c r="A15" s="9"/>
      <c r="D15" s="12"/>
    </row>
    <row r="16" spans="1:4" ht="15" customHeight="1" x14ac:dyDescent="0.3">
      <c r="A16" s="27" t="s">
        <v>128</v>
      </c>
      <c r="B16" s="31">
        <f>B8+B10+B11+B12+B13+B14</f>
        <v>54030</v>
      </c>
      <c r="C16" s="29">
        <f>B16/B7</f>
        <v>208.85195206803249</v>
      </c>
      <c r="D16" s="12"/>
    </row>
    <row r="17" spans="1:4" ht="15" customHeight="1" x14ac:dyDescent="0.3">
      <c r="A17" s="9"/>
      <c r="D17" s="12"/>
    </row>
    <row r="18" spans="1:4" ht="15" customHeight="1" x14ac:dyDescent="0.3">
      <c r="A18" s="7" t="s">
        <v>129</v>
      </c>
      <c r="D18" s="12"/>
    </row>
    <row r="19" spans="1:4" ht="15" customHeight="1" x14ac:dyDescent="0.3">
      <c r="A19" s="9" t="s">
        <v>130</v>
      </c>
      <c r="B19" s="26">
        <v>1876</v>
      </c>
      <c r="C19" s="30">
        <f>B19/B7</f>
        <v>7.251642829532277</v>
      </c>
      <c r="D19" s="12" t="s">
        <v>131</v>
      </c>
    </row>
    <row r="20" spans="1:4" ht="15" customHeight="1" x14ac:dyDescent="0.3">
      <c r="A20" s="9" t="s">
        <v>132</v>
      </c>
      <c r="B20" s="26">
        <v>2575</v>
      </c>
      <c r="C20" s="30">
        <f>B20/B7</f>
        <v>9.9536142249710089</v>
      </c>
      <c r="D20" s="11" t="s">
        <v>133</v>
      </c>
    </row>
    <row r="21" spans="1:4" ht="15" customHeight="1" x14ac:dyDescent="0.3">
      <c r="A21" s="9" t="s">
        <v>134</v>
      </c>
      <c r="B21" s="26">
        <v>2759</v>
      </c>
      <c r="C21" s="30">
        <f>B21/B7</f>
        <v>10.664862775415539</v>
      </c>
      <c r="D21" s="12" t="s">
        <v>135</v>
      </c>
    </row>
    <row r="22" spans="1:4" ht="15" customHeight="1" x14ac:dyDescent="0.3">
      <c r="A22" s="9" t="s">
        <v>136</v>
      </c>
      <c r="B22" s="26">
        <v>3003</v>
      </c>
      <c r="C22" s="30">
        <f>B22/B7</f>
        <v>11.608040201005025</v>
      </c>
      <c r="D22" s="12" t="s">
        <v>135</v>
      </c>
    </row>
    <row r="23" spans="1:4" ht="15" customHeight="1" x14ac:dyDescent="0.3">
      <c r="A23" s="9"/>
      <c r="D23" s="12"/>
    </row>
    <row r="24" spans="1:4" ht="15" customHeight="1" x14ac:dyDescent="0.3">
      <c r="A24" s="32" t="s">
        <v>137</v>
      </c>
      <c r="B24" s="33">
        <f>B16/B19</f>
        <v>28.800639658848613</v>
      </c>
      <c r="D24" s="12"/>
    </row>
    <row r="25" spans="1:4" ht="15" customHeight="1" x14ac:dyDescent="0.3">
      <c r="A25" s="32" t="s">
        <v>138</v>
      </c>
      <c r="B25" s="33">
        <f>B16/B20</f>
        <v>20.98252427184466</v>
      </c>
      <c r="D25" s="12"/>
    </row>
    <row r="26" spans="1:4" ht="15" customHeight="1" x14ac:dyDescent="0.3">
      <c r="A26" s="32" t="s">
        <v>139</v>
      </c>
      <c r="B26" s="33">
        <f>B16/B21</f>
        <v>19.58318231243204</v>
      </c>
      <c r="D26" s="12"/>
    </row>
    <row r="27" spans="1:4" ht="15" customHeight="1" x14ac:dyDescent="0.3">
      <c r="A27" s="32" t="s">
        <v>140</v>
      </c>
      <c r="B27" s="33">
        <f>B16/B22</f>
        <v>17.992007992007991</v>
      </c>
      <c r="D27" s="12"/>
    </row>
    <row r="29" spans="1:4" ht="14.25" customHeight="1" x14ac:dyDescent="0.3">
      <c r="A29" s="1" t="s">
        <v>141</v>
      </c>
    </row>
    <row r="30" spans="1:4" ht="14.25" customHeight="1" x14ac:dyDescent="0.3">
      <c r="A30" s="34" t="s">
        <v>142</v>
      </c>
      <c r="B30" s="35">
        <v>7288</v>
      </c>
      <c r="C30" s="36">
        <f>B30/B7</f>
        <v>28.171627367607268</v>
      </c>
      <c r="D30" s="12" t="s">
        <v>143</v>
      </c>
    </row>
    <row r="31" spans="1:4" ht="14.25" customHeight="1" x14ac:dyDescent="0.3">
      <c r="A31" s="34" t="s">
        <v>144</v>
      </c>
      <c r="B31" s="35">
        <v>7130</v>
      </c>
      <c r="D31" s="12" t="s">
        <v>145</v>
      </c>
    </row>
    <row r="32" spans="1:4" ht="14.25" customHeight="1" x14ac:dyDescent="0.3">
      <c r="A32" s="34" t="s">
        <v>146</v>
      </c>
      <c r="B32" s="212">
        <f>'EA Historicals'!B81</f>
        <v>1767</v>
      </c>
      <c r="D32" s="12" t="s">
        <v>147</v>
      </c>
    </row>
    <row r="33" spans="1:4" ht="14.25" customHeight="1" x14ac:dyDescent="0.3">
      <c r="A33" s="34" t="s">
        <v>148</v>
      </c>
      <c r="B33" s="68">
        <f>B16/B30</f>
        <v>7.4135565312843026</v>
      </c>
      <c r="D33" s="12"/>
    </row>
    <row r="34" spans="1:4" ht="14.25" customHeight="1" x14ac:dyDescent="0.3">
      <c r="A34" s="34" t="s">
        <v>149</v>
      </c>
      <c r="B34" s="68">
        <f>B16/B32</f>
        <v>30.577249575551782</v>
      </c>
      <c r="D34" s="12"/>
    </row>
    <row r="35" spans="1:4" x14ac:dyDescent="0.3">
      <c r="D35" s="12"/>
    </row>
    <row r="36" spans="1:4" ht="14.25" customHeight="1" x14ac:dyDescent="0.3">
      <c r="A36" s="1" t="s">
        <v>150</v>
      </c>
      <c r="D36" s="12"/>
    </row>
    <row r="37" spans="1:4" ht="14.25" customHeight="1" x14ac:dyDescent="0.3">
      <c r="A37" s="22" t="s">
        <v>151</v>
      </c>
      <c r="B37" s="39">
        <f>B16</f>
        <v>54030</v>
      </c>
      <c r="D37" s="12"/>
    </row>
    <row r="38" spans="1:4" ht="14.25" customHeight="1" x14ac:dyDescent="0.3">
      <c r="A38" s="22" t="s">
        <v>152</v>
      </c>
      <c r="B38" s="35">
        <v>75</v>
      </c>
      <c r="D38" s="12" t="s">
        <v>153</v>
      </c>
    </row>
    <row r="39" spans="1:4" ht="14.25" customHeight="1" x14ac:dyDescent="0.3">
      <c r="A39" s="22" t="s">
        <v>154</v>
      </c>
      <c r="B39" s="35">
        <v>500</v>
      </c>
      <c r="D39" s="12" t="s">
        <v>155</v>
      </c>
    </row>
    <row r="40" spans="1:4" ht="14.25" customHeight="1" x14ac:dyDescent="0.3">
      <c r="A40" s="22" t="s">
        <v>156</v>
      </c>
      <c r="B40" s="35">
        <v>415</v>
      </c>
      <c r="D40" s="12" t="s">
        <v>157</v>
      </c>
    </row>
    <row r="41" spans="1:4" ht="14.25" customHeight="1" x14ac:dyDescent="0.3">
      <c r="A41" s="40" t="s">
        <v>158</v>
      </c>
      <c r="B41" s="41">
        <f>SUM(B37:B40)</f>
        <v>55020</v>
      </c>
    </row>
    <row r="42" spans="1:4" ht="14.25" customHeight="1" x14ac:dyDescent="0.3">
      <c r="A42" s="22" t="s">
        <v>159</v>
      </c>
      <c r="B42" s="35">
        <v>55000</v>
      </c>
    </row>
    <row r="43" spans="1:4" ht="14.25" customHeight="1" x14ac:dyDescent="0.3">
      <c r="A43" s="22" t="s">
        <v>160</v>
      </c>
      <c r="B43" s="39">
        <f>B42-B41</f>
        <v>-20</v>
      </c>
    </row>
    <row r="44" spans="1:4" ht="14.25" customHeight="1" x14ac:dyDescent="0.3">
      <c r="A44" s="277" t="s">
        <v>161</v>
      </c>
      <c r="B44" s="277"/>
      <c r="C44" s="277"/>
      <c r="D44" s="277"/>
    </row>
  </sheetData>
  <mergeCells count="1">
    <mergeCell ref="A44:D4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G89"/>
  <sheetViews>
    <sheetView topLeftCell="A68" zoomScaleNormal="100" workbookViewId="0">
      <selection activeCell="D78" sqref="D78"/>
    </sheetView>
  </sheetViews>
  <sheetFormatPr defaultColWidth="8.6640625" defaultRowHeight="14.4" x14ac:dyDescent="0.3"/>
  <cols>
    <col min="1" max="1" width="47.77734375" customWidth="1"/>
    <col min="2" max="6" width="18" customWidth="1"/>
    <col min="7" max="7" width="55.44140625" customWidth="1"/>
  </cols>
  <sheetData>
    <row r="1" spans="1:7" ht="15.75" customHeight="1" x14ac:dyDescent="0.3">
      <c r="A1" s="2" t="s">
        <v>162</v>
      </c>
    </row>
    <row r="2" spans="1:7" ht="15" customHeight="1" x14ac:dyDescent="0.3">
      <c r="A2" s="23" t="s">
        <v>163</v>
      </c>
    </row>
    <row r="4" spans="1:7" ht="15" customHeight="1" x14ac:dyDescent="0.3">
      <c r="A4" s="24"/>
      <c r="B4" s="24" t="s">
        <v>164</v>
      </c>
      <c r="C4" s="24" t="s">
        <v>165</v>
      </c>
      <c r="D4" s="24" t="s">
        <v>166</v>
      </c>
      <c r="E4" s="24" t="s">
        <v>167</v>
      </c>
      <c r="F4" s="24" t="s">
        <v>168</v>
      </c>
      <c r="G4" s="24" t="s">
        <v>113</v>
      </c>
    </row>
    <row r="5" spans="1:7" ht="15" customHeight="1" x14ac:dyDescent="0.3">
      <c r="A5" s="7" t="s">
        <v>169</v>
      </c>
      <c r="B5" s="8"/>
      <c r="C5" s="8"/>
      <c r="D5" s="8"/>
      <c r="E5" s="8"/>
      <c r="F5" s="8"/>
      <c r="G5" s="8"/>
    </row>
    <row r="6" spans="1:7" ht="15" customHeight="1" x14ac:dyDescent="0.3">
      <c r="A6" s="9" t="s">
        <v>170</v>
      </c>
      <c r="B6" s="15">
        <v>6991</v>
      </c>
      <c r="C6" s="15">
        <v>7426</v>
      </c>
      <c r="D6" s="15">
        <v>7562</v>
      </c>
      <c r="E6" s="15">
        <v>7463</v>
      </c>
      <c r="F6" s="26">
        <v>7300</v>
      </c>
      <c r="G6" s="12" t="s">
        <v>171</v>
      </c>
    </row>
    <row r="7" spans="1:7" ht="15" customHeight="1" x14ac:dyDescent="0.3">
      <c r="A7" s="9" t="s">
        <v>172</v>
      </c>
      <c r="B7" s="15">
        <v>1993</v>
      </c>
      <c r="C7" s="15">
        <v>1937</v>
      </c>
      <c r="D7" s="15">
        <v>2015</v>
      </c>
      <c r="E7" s="15">
        <v>2002</v>
      </c>
      <c r="F7" s="42" t="s">
        <v>173</v>
      </c>
      <c r="G7" s="12" t="s">
        <v>171</v>
      </c>
    </row>
    <row r="8" spans="1:7" ht="15" customHeight="1" x14ac:dyDescent="0.3">
      <c r="A8" s="9" t="s">
        <v>174</v>
      </c>
      <c r="B8" s="15">
        <v>4998</v>
      </c>
      <c r="C8" s="15">
        <v>5489</v>
      </c>
      <c r="D8" s="15">
        <v>5547</v>
      </c>
      <c r="E8" s="15">
        <v>5461</v>
      </c>
      <c r="F8" s="42" t="s">
        <v>173</v>
      </c>
      <c r="G8" s="12" t="s">
        <v>171</v>
      </c>
    </row>
    <row r="9" spans="1:7" ht="15" customHeight="1" x14ac:dyDescent="0.3">
      <c r="A9" s="9" t="s">
        <v>175</v>
      </c>
      <c r="B9" s="15">
        <v>1859</v>
      </c>
      <c r="C9" s="15">
        <v>1792</v>
      </c>
      <c r="D9" s="15">
        <v>1710</v>
      </c>
      <c r="E9" s="15">
        <v>1543</v>
      </c>
      <c r="F9" s="42" t="s">
        <v>173</v>
      </c>
      <c r="G9" s="12" t="s">
        <v>176</v>
      </c>
    </row>
    <row r="10" spans="1:7" ht="15" customHeight="1" x14ac:dyDescent="0.3">
      <c r="A10" s="32" t="s">
        <v>177</v>
      </c>
      <c r="B10" s="43">
        <f>B6-B9</f>
        <v>5132</v>
      </c>
      <c r="C10" s="43">
        <f>C6-C9</f>
        <v>5634</v>
      </c>
      <c r="D10" s="43">
        <f>D6-D9</f>
        <v>5852</v>
      </c>
      <c r="E10" s="43">
        <f>E6-E9</f>
        <v>5920</v>
      </c>
      <c r="F10" s="42" t="s">
        <v>173</v>
      </c>
    </row>
    <row r="11" spans="1:7" ht="15" customHeight="1" x14ac:dyDescent="0.3">
      <c r="A11" s="32" t="s">
        <v>178</v>
      </c>
      <c r="B11" s="44">
        <f>B10/B6</f>
        <v>0.73408668287798595</v>
      </c>
      <c r="C11" s="44">
        <f>C10/C6</f>
        <v>0.75868569889577164</v>
      </c>
      <c r="D11" s="44">
        <f>D10/D6</f>
        <v>0.77386934673366836</v>
      </c>
      <c r="E11" s="44">
        <f>E10/E6</f>
        <v>0.79324668363928719</v>
      </c>
      <c r="F11" s="42" t="s">
        <v>173</v>
      </c>
    </row>
    <row r="13" spans="1:7" ht="15" customHeight="1" x14ac:dyDescent="0.3">
      <c r="A13" s="9" t="s">
        <v>179</v>
      </c>
    </row>
    <row r="14" spans="1:7" ht="15" customHeight="1" x14ac:dyDescent="0.3">
      <c r="A14" s="9" t="s">
        <v>180</v>
      </c>
      <c r="B14" s="15">
        <v>2186</v>
      </c>
      <c r="C14" s="15">
        <v>2328</v>
      </c>
      <c r="D14" s="15">
        <v>2420</v>
      </c>
      <c r="E14" s="15">
        <v>2569</v>
      </c>
      <c r="F14" s="42" t="s">
        <v>173</v>
      </c>
      <c r="G14" s="12" t="s">
        <v>171</v>
      </c>
    </row>
    <row r="15" spans="1:7" ht="15" customHeight="1" x14ac:dyDescent="0.3">
      <c r="A15" s="9" t="s">
        <v>181</v>
      </c>
      <c r="B15" s="15">
        <v>961</v>
      </c>
      <c r="C15" s="15">
        <v>978</v>
      </c>
      <c r="D15" s="15">
        <v>1019</v>
      </c>
      <c r="E15" s="15">
        <v>962</v>
      </c>
      <c r="F15" s="42" t="s">
        <v>173</v>
      </c>
      <c r="G15" s="12" t="s">
        <v>171</v>
      </c>
    </row>
    <row r="16" spans="1:7" ht="15" customHeight="1" x14ac:dyDescent="0.3">
      <c r="A16" s="9" t="s">
        <v>182</v>
      </c>
      <c r="B16" s="15">
        <v>673</v>
      </c>
      <c r="C16" s="15">
        <v>727</v>
      </c>
      <c r="D16" s="15">
        <v>691</v>
      </c>
      <c r="E16" s="15">
        <v>745</v>
      </c>
      <c r="F16" s="42" t="s">
        <v>173</v>
      </c>
      <c r="G16" s="12" t="s">
        <v>171</v>
      </c>
    </row>
    <row r="17" spans="1:7" ht="15" customHeight="1" x14ac:dyDescent="0.3">
      <c r="A17" s="9" t="s">
        <v>183</v>
      </c>
      <c r="B17" s="15">
        <v>183</v>
      </c>
      <c r="C17" s="15">
        <v>158</v>
      </c>
      <c r="D17" s="15">
        <v>142</v>
      </c>
      <c r="E17" s="15">
        <v>67</v>
      </c>
      <c r="F17" s="42" t="s">
        <v>173</v>
      </c>
      <c r="G17" s="12" t="s">
        <v>171</v>
      </c>
    </row>
    <row r="18" spans="1:7" ht="15" customHeight="1" x14ac:dyDescent="0.3">
      <c r="A18" s="9" t="s">
        <v>184</v>
      </c>
      <c r="B18" s="15">
        <v>0</v>
      </c>
      <c r="C18" s="15">
        <v>111</v>
      </c>
      <c r="D18" s="15">
        <v>62</v>
      </c>
      <c r="E18" s="15">
        <v>57</v>
      </c>
      <c r="F18" s="42" t="s">
        <v>173</v>
      </c>
      <c r="G18" s="12" t="s">
        <v>171</v>
      </c>
    </row>
    <row r="19" spans="1:7" ht="15" customHeight="1" x14ac:dyDescent="0.3">
      <c r="A19" s="32" t="s">
        <v>185</v>
      </c>
      <c r="B19" s="43">
        <f>SUM(B14:B18)</f>
        <v>4003</v>
      </c>
      <c r="C19" s="43">
        <f>SUM(C14:C18)</f>
        <v>4302</v>
      </c>
      <c r="D19" s="43">
        <f>SUM(D14:D18)</f>
        <v>4334</v>
      </c>
      <c r="E19" s="43">
        <f>SUM(E14:E18)</f>
        <v>4400</v>
      </c>
      <c r="F19" s="26" t="s">
        <v>186</v>
      </c>
      <c r="G19" s="12" t="s">
        <v>187</v>
      </c>
    </row>
    <row r="20" spans="1:7" ht="15" customHeight="1" x14ac:dyDescent="0.3">
      <c r="A20" s="32" t="s">
        <v>188</v>
      </c>
      <c r="B20" s="45">
        <f>B10-B19</f>
        <v>1129</v>
      </c>
      <c r="C20" s="45">
        <f>C10-C19</f>
        <v>1332</v>
      </c>
      <c r="D20" s="45">
        <f>D10-D19</f>
        <v>1518</v>
      </c>
      <c r="E20" s="45">
        <f>E10-E19</f>
        <v>1520</v>
      </c>
      <c r="F20" s="46">
        <v>1529</v>
      </c>
      <c r="G20" s="12" t="s">
        <v>189</v>
      </c>
    </row>
    <row r="21" spans="1:7" ht="15" customHeight="1" x14ac:dyDescent="0.3">
      <c r="A21" s="32" t="s">
        <v>190</v>
      </c>
      <c r="B21" s="44">
        <f>B20/B6</f>
        <v>0.16149334859104564</v>
      </c>
      <c r="C21" s="44">
        <f>C20/C6</f>
        <v>0.17936978184756261</v>
      </c>
      <c r="D21" s="44">
        <f>D20/D6</f>
        <v>0.2007405448294102</v>
      </c>
      <c r="E21" s="44">
        <f>E20/E6</f>
        <v>0.20367144579927643</v>
      </c>
      <c r="F21" s="44">
        <f>IF(F6=0,"N/A",F20/F6)</f>
        <v>0.20945205479452056</v>
      </c>
    </row>
    <row r="23" spans="1:7" ht="15" customHeight="1" x14ac:dyDescent="0.3">
      <c r="A23" s="9" t="s">
        <v>191</v>
      </c>
      <c r="B23" s="15">
        <v>-48</v>
      </c>
      <c r="C23" s="15">
        <v>-6</v>
      </c>
      <c r="D23" s="15">
        <v>71</v>
      </c>
      <c r="E23" s="15">
        <v>85</v>
      </c>
      <c r="F23" s="42" t="s">
        <v>173</v>
      </c>
      <c r="G23" s="12" t="s">
        <v>171</v>
      </c>
    </row>
    <row r="24" spans="1:7" ht="15" customHeight="1" x14ac:dyDescent="0.3">
      <c r="A24" s="32" t="s">
        <v>192</v>
      </c>
      <c r="B24" s="46">
        <f>B20+B23</f>
        <v>1081</v>
      </c>
      <c r="C24" s="46">
        <f>C20+C23</f>
        <v>1326</v>
      </c>
      <c r="D24" s="46">
        <f>D20+D23</f>
        <v>1589</v>
      </c>
      <c r="E24" s="46">
        <f>E20+E23</f>
        <v>1605</v>
      </c>
      <c r="F24" s="42" t="s">
        <v>173</v>
      </c>
    </row>
    <row r="25" spans="1:7" ht="15" customHeight="1" x14ac:dyDescent="0.3">
      <c r="A25" s="9" t="s">
        <v>193</v>
      </c>
      <c r="B25" s="15">
        <v>292</v>
      </c>
      <c r="C25" s="15">
        <v>524</v>
      </c>
      <c r="D25" s="15">
        <v>316</v>
      </c>
      <c r="E25" s="15">
        <v>484</v>
      </c>
      <c r="F25" s="42" t="s">
        <v>173</v>
      </c>
      <c r="G25" s="12" t="s">
        <v>171</v>
      </c>
    </row>
    <row r="26" spans="1:7" ht="15" customHeight="1" x14ac:dyDescent="0.3">
      <c r="A26" s="32" t="s">
        <v>194</v>
      </c>
      <c r="B26" s="44">
        <f>B25/B24</f>
        <v>0.27012025901942643</v>
      </c>
      <c r="C26" s="44">
        <f>C25/C24</f>
        <v>0.39517345399698339</v>
      </c>
      <c r="D26" s="44">
        <f>D25/D24</f>
        <v>0.19886721208307112</v>
      </c>
      <c r="E26" s="44">
        <f>E25/E24</f>
        <v>0.30155763239875388</v>
      </c>
      <c r="F26" s="42" t="s">
        <v>173</v>
      </c>
    </row>
    <row r="27" spans="1:7" ht="15" customHeight="1" x14ac:dyDescent="0.3">
      <c r="A27" s="9" t="s">
        <v>195</v>
      </c>
      <c r="B27" s="15">
        <v>789</v>
      </c>
      <c r="C27" s="15">
        <v>802</v>
      </c>
      <c r="D27" s="15">
        <v>1273</v>
      </c>
      <c r="E27" s="15">
        <v>1121</v>
      </c>
      <c r="F27" s="26">
        <v>885</v>
      </c>
      <c r="G27" s="12" t="s">
        <v>196</v>
      </c>
    </row>
    <row r="29" spans="1:7" ht="15" customHeight="1" x14ac:dyDescent="0.3">
      <c r="A29" s="9" t="s">
        <v>197</v>
      </c>
      <c r="B29" s="13">
        <v>2.76</v>
      </c>
      <c r="C29" s="13">
        <v>2.88</v>
      </c>
      <c r="D29" s="13">
        <v>4.68</v>
      </c>
      <c r="E29" s="13">
        <v>4.25</v>
      </c>
      <c r="F29" s="25">
        <v>3.44</v>
      </c>
      <c r="G29" s="12" t="s">
        <v>196</v>
      </c>
    </row>
    <row r="30" spans="1:7" ht="15" customHeight="1" x14ac:dyDescent="0.3">
      <c r="A30" s="9" t="s">
        <v>198</v>
      </c>
      <c r="B30" s="15">
        <v>286</v>
      </c>
      <c r="C30" s="15">
        <v>278</v>
      </c>
      <c r="D30" s="15">
        <v>272</v>
      </c>
      <c r="E30" s="15">
        <v>264</v>
      </c>
      <c r="F30" s="26">
        <v>257</v>
      </c>
      <c r="G30" s="12" t="s">
        <v>199</v>
      </c>
    </row>
    <row r="32" spans="1:7" ht="15" customHeight="1" x14ac:dyDescent="0.3">
      <c r="A32" s="7" t="s">
        <v>200</v>
      </c>
      <c r="B32" s="8"/>
      <c r="C32" s="8"/>
      <c r="D32" s="8"/>
      <c r="E32" s="8"/>
      <c r="F32" s="8"/>
      <c r="G32" s="8"/>
    </row>
    <row r="33" spans="1:7" ht="15" customHeight="1" x14ac:dyDescent="0.3">
      <c r="A33" s="32" t="s">
        <v>201</v>
      </c>
      <c r="B33" s="47">
        <f>B20</f>
        <v>1129</v>
      </c>
      <c r="C33" s="47">
        <f>C20</f>
        <v>1332</v>
      </c>
      <c r="D33" s="47">
        <f>D20</f>
        <v>1518</v>
      </c>
      <c r="E33" s="47">
        <f>E20</f>
        <v>1520</v>
      </c>
      <c r="F33" s="47">
        <f>F20</f>
        <v>1529</v>
      </c>
    </row>
    <row r="34" spans="1:7" ht="15" customHeight="1" x14ac:dyDescent="0.3">
      <c r="A34" s="9" t="s">
        <v>202</v>
      </c>
      <c r="B34" s="15">
        <v>486</v>
      </c>
      <c r="C34" s="15">
        <v>536</v>
      </c>
      <c r="D34" s="15">
        <v>404</v>
      </c>
      <c r="E34" s="15">
        <v>356</v>
      </c>
      <c r="F34" s="42" t="s">
        <v>173</v>
      </c>
      <c r="G34" s="12" t="s">
        <v>203</v>
      </c>
    </row>
    <row r="35" spans="1:7" ht="15" customHeight="1" x14ac:dyDescent="0.3">
      <c r="A35" s="32" t="s">
        <v>204</v>
      </c>
      <c r="B35" s="48">
        <f>B33+B34</f>
        <v>1615</v>
      </c>
      <c r="C35" s="48">
        <f>C33+C34</f>
        <v>1868</v>
      </c>
      <c r="D35" s="48">
        <f>D33+D34</f>
        <v>1922</v>
      </c>
      <c r="E35" s="48">
        <f>E33+E34</f>
        <v>1876</v>
      </c>
      <c r="F35" s="42" t="s">
        <v>173</v>
      </c>
    </row>
    <row r="36" spans="1:7" ht="14.25" customHeight="1" x14ac:dyDescent="0.3">
      <c r="A36" s="32" t="s">
        <v>205</v>
      </c>
      <c r="B36" s="44">
        <f>B35/B6</f>
        <v>0.23101130024316979</v>
      </c>
      <c r="C36" s="44">
        <f>C35/C6</f>
        <v>0.25154861298141662</v>
      </c>
      <c r="D36" s="44">
        <f>D35/D6</f>
        <v>0.25416556466543244</v>
      </c>
      <c r="E36" s="44">
        <f>E35/E6</f>
        <v>0.25137344231542275</v>
      </c>
      <c r="F36" s="42" t="s">
        <v>173</v>
      </c>
    </row>
    <row r="37" spans="1:7" ht="14.25" customHeight="1" x14ac:dyDescent="0.3">
      <c r="A37" s="9" t="s">
        <v>206</v>
      </c>
      <c r="B37" s="15">
        <v>528</v>
      </c>
      <c r="C37" s="15">
        <v>548</v>
      </c>
      <c r="D37" s="15">
        <v>584</v>
      </c>
      <c r="E37" s="15">
        <v>642</v>
      </c>
      <c r="F37" s="42" t="s">
        <v>173</v>
      </c>
      <c r="G37" s="12" t="s">
        <v>203</v>
      </c>
    </row>
    <row r="38" spans="1:7" ht="14.25" customHeight="1" x14ac:dyDescent="0.3">
      <c r="A38" s="9" t="s">
        <v>207</v>
      </c>
      <c r="B38" s="15">
        <v>0</v>
      </c>
      <c r="C38" s="15">
        <v>111</v>
      </c>
      <c r="D38" s="15">
        <v>62</v>
      </c>
      <c r="E38" s="15">
        <v>57</v>
      </c>
      <c r="F38" s="42" t="s">
        <v>173</v>
      </c>
      <c r="G38" s="11" t="s">
        <v>208</v>
      </c>
    </row>
    <row r="39" spans="1:7" ht="14.25" customHeight="1" x14ac:dyDescent="0.3">
      <c r="A39" s="32" t="s">
        <v>209</v>
      </c>
      <c r="B39" s="45">
        <f>B35+B37+B38</f>
        <v>2143</v>
      </c>
      <c r="C39" s="45">
        <f>C35+C37+C38</f>
        <v>2527</v>
      </c>
      <c r="D39" s="45">
        <f>D35+D37+D38</f>
        <v>2568</v>
      </c>
      <c r="E39" s="45">
        <f>E35+E37+E38</f>
        <v>2575</v>
      </c>
      <c r="F39" s="26">
        <v>2759</v>
      </c>
      <c r="G39" s="11" t="s">
        <v>210</v>
      </c>
    </row>
    <row r="40" spans="1:7" ht="14.25" customHeight="1" x14ac:dyDescent="0.3">
      <c r="A40" s="32" t="s">
        <v>211</v>
      </c>
      <c r="B40" s="44">
        <f>B39/B6</f>
        <v>0.3065369761121442</v>
      </c>
      <c r="C40" s="44">
        <f>C39/C6</f>
        <v>0.34029086991650959</v>
      </c>
      <c r="D40" s="44">
        <f>D39/D6</f>
        <v>0.33959270034382438</v>
      </c>
      <c r="E40" s="44">
        <f>E39/E6</f>
        <v>0.34503550850864262</v>
      </c>
      <c r="F40" s="44">
        <f>IF(F6=0,"N/A",F39/F6)</f>
        <v>0.37794520547945204</v>
      </c>
    </row>
    <row r="42" spans="1:7" ht="15" customHeight="1" x14ac:dyDescent="0.3">
      <c r="A42" s="7" t="s">
        <v>212</v>
      </c>
      <c r="B42" s="8"/>
      <c r="C42" s="8"/>
      <c r="D42" s="8"/>
      <c r="E42" s="8"/>
      <c r="F42" s="8"/>
      <c r="G42" s="8"/>
    </row>
    <row r="43" spans="1:7" ht="15" customHeight="1" x14ac:dyDescent="0.3">
      <c r="A43" s="32" t="s">
        <v>170</v>
      </c>
      <c r="B43" s="47">
        <f>B6</f>
        <v>6991</v>
      </c>
      <c r="C43" s="47">
        <f>C6</f>
        <v>7426</v>
      </c>
      <c r="D43" s="47">
        <f>D6</f>
        <v>7562</v>
      </c>
      <c r="E43" s="47">
        <f>E6</f>
        <v>7463</v>
      </c>
      <c r="F43" s="47">
        <f>F6</f>
        <v>7300</v>
      </c>
    </row>
    <row r="44" spans="1:7" ht="14.25" customHeight="1" x14ac:dyDescent="0.3">
      <c r="A44" s="9" t="s">
        <v>213</v>
      </c>
      <c r="B44" s="15">
        <v>-92</v>
      </c>
      <c r="C44" s="15">
        <v>-77</v>
      </c>
      <c r="D44" s="15">
        <v>-132</v>
      </c>
      <c r="E44" s="15">
        <v>-108</v>
      </c>
      <c r="F44" s="26">
        <v>550</v>
      </c>
      <c r="G44" s="11" t="s">
        <v>214</v>
      </c>
    </row>
    <row r="45" spans="1:7" ht="15" customHeight="1" x14ac:dyDescent="0.3">
      <c r="A45" s="32" t="s">
        <v>215</v>
      </c>
      <c r="B45" s="45">
        <f>B43+B44</f>
        <v>6899</v>
      </c>
      <c r="C45" s="45">
        <f>C43+C44</f>
        <v>7349</v>
      </c>
      <c r="D45" s="45">
        <f>D43+D44</f>
        <v>7430</v>
      </c>
      <c r="E45" s="45">
        <f>E43+E44</f>
        <v>7355</v>
      </c>
      <c r="F45" s="45">
        <f>F43+F44</f>
        <v>7850</v>
      </c>
    </row>
    <row r="47" spans="1:7" ht="15" customHeight="1" x14ac:dyDescent="0.3">
      <c r="A47" s="7" t="s">
        <v>216</v>
      </c>
      <c r="B47" s="8"/>
      <c r="C47" s="8"/>
      <c r="D47" s="8"/>
      <c r="E47" s="8"/>
      <c r="F47" s="8"/>
      <c r="G47" s="8"/>
    </row>
    <row r="48" spans="1:7" ht="14.25" customHeight="1" x14ac:dyDescent="0.3">
      <c r="A48" s="9" t="s">
        <v>217</v>
      </c>
      <c r="B48" s="15">
        <v>1899</v>
      </c>
      <c r="C48" s="15">
        <v>1550</v>
      </c>
      <c r="D48" s="15">
        <v>2315</v>
      </c>
      <c r="E48" s="15">
        <v>2079</v>
      </c>
      <c r="F48" s="26">
        <v>2300</v>
      </c>
      <c r="G48" s="12" t="s">
        <v>196</v>
      </c>
    </row>
    <row r="49" spans="1:7" ht="14.25" customHeight="1" x14ac:dyDescent="0.3">
      <c r="A49" s="9" t="s">
        <v>218</v>
      </c>
      <c r="B49" s="15">
        <v>-188</v>
      </c>
      <c r="C49" s="15">
        <v>-207</v>
      </c>
      <c r="D49" s="15">
        <v>-199</v>
      </c>
      <c r="E49" s="15">
        <v>-221</v>
      </c>
      <c r="F49" s="42" t="s">
        <v>173</v>
      </c>
      <c r="G49" s="11" t="s">
        <v>219</v>
      </c>
    </row>
    <row r="50" spans="1:7" ht="15" customHeight="1" x14ac:dyDescent="0.3">
      <c r="A50" s="32" t="s">
        <v>220</v>
      </c>
      <c r="B50" s="45">
        <f>B48+B49</f>
        <v>1711</v>
      </c>
      <c r="C50" s="45">
        <f>C48+C49</f>
        <v>1343</v>
      </c>
      <c r="D50" s="45">
        <f>D48+D49</f>
        <v>2116</v>
      </c>
      <c r="E50" s="45">
        <f>E48+E49</f>
        <v>1858</v>
      </c>
      <c r="F50" s="42" t="s">
        <v>173</v>
      </c>
    </row>
    <row r="51" spans="1:7" ht="15" customHeight="1" x14ac:dyDescent="0.3">
      <c r="A51" s="32" t="s">
        <v>221</v>
      </c>
      <c r="B51" s="44">
        <f>B50/B6</f>
        <v>0.24474324131025604</v>
      </c>
      <c r="C51" s="44">
        <f>C50/C6</f>
        <v>0.18085106382978725</v>
      </c>
      <c r="D51" s="44">
        <f>D50/D6</f>
        <v>0.2798201533985718</v>
      </c>
      <c r="E51" s="44">
        <f>E50/E6</f>
        <v>0.24896154361516817</v>
      </c>
      <c r="F51" s="42" t="s">
        <v>173</v>
      </c>
    </row>
    <row r="52" spans="1:7" ht="15" customHeight="1" x14ac:dyDescent="0.3">
      <c r="A52" s="32" t="s">
        <v>222</v>
      </c>
      <c r="B52" s="49">
        <f>IF(B27=0,"N/A",B50/B27)</f>
        <v>2.1685678073510775</v>
      </c>
      <c r="C52" s="49">
        <f>IF(C27=0,"N/A",C50/C27)</f>
        <v>1.6745635910224439</v>
      </c>
      <c r="D52" s="49">
        <f>IF(D27=0,"N/A",D50/D27)</f>
        <v>1.6622152395915162</v>
      </c>
      <c r="E52" s="49">
        <f>IF(E27=0,"N/A",E50/E27)</f>
        <v>1.6574487065120429</v>
      </c>
      <c r="F52" s="42" t="s">
        <v>173</v>
      </c>
    </row>
    <row r="54" spans="1:7" ht="15" customHeight="1" x14ac:dyDescent="0.3">
      <c r="A54" s="7" t="s">
        <v>223</v>
      </c>
      <c r="B54" s="8"/>
      <c r="C54" s="8"/>
      <c r="D54" s="8"/>
      <c r="E54" s="8"/>
      <c r="F54" s="8"/>
      <c r="G54" s="8"/>
    </row>
    <row r="55" spans="1:7" ht="14.25" customHeight="1" x14ac:dyDescent="0.3">
      <c r="A55" s="9" t="s">
        <v>224</v>
      </c>
      <c r="B55" s="15">
        <v>2732</v>
      </c>
      <c r="C55" s="15">
        <v>2424</v>
      </c>
      <c r="D55" s="15">
        <v>2900</v>
      </c>
      <c r="E55" s="15">
        <v>2136</v>
      </c>
      <c r="F55" s="42" t="s">
        <v>173</v>
      </c>
      <c r="G55" s="12" t="s">
        <v>225</v>
      </c>
    </row>
    <row r="56" spans="1:7" ht="14.25" customHeight="1" x14ac:dyDescent="0.3">
      <c r="A56" s="9" t="s">
        <v>226</v>
      </c>
      <c r="B56" s="15">
        <v>330</v>
      </c>
      <c r="C56" s="15">
        <v>343</v>
      </c>
      <c r="D56" s="15">
        <v>362</v>
      </c>
      <c r="E56" s="15">
        <v>112</v>
      </c>
      <c r="F56" s="42" t="s">
        <v>173</v>
      </c>
      <c r="G56" s="11" t="s">
        <v>227</v>
      </c>
    </row>
    <row r="57" spans="1:7" ht="15" customHeight="1" x14ac:dyDescent="0.3">
      <c r="A57" s="32" t="s">
        <v>228</v>
      </c>
      <c r="B57" s="43">
        <f>B55+B56</f>
        <v>3062</v>
      </c>
      <c r="C57" s="43">
        <f>C55+C56</f>
        <v>2767</v>
      </c>
      <c r="D57" s="43">
        <f>D55+D56</f>
        <v>3262</v>
      </c>
      <c r="E57" s="43">
        <f>E55+E56</f>
        <v>2248</v>
      </c>
      <c r="F57" s="42" t="s">
        <v>173</v>
      </c>
    </row>
    <row r="59" spans="1:7" ht="15" customHeight="1" x14ac:dyDescent="0.3">
      <c r="A59" s="9" t="s">
        <v>229</v>
      </c>
      <c r="B59" s="15">
        <v>0</v>
      </c>
      <c r="C59" s="15">
        <v>0</v>
      </c>
      <c r="D59" s="15">
        <v>0</v>
      </c>
      <c r="E59" s="15">
        <v>400</v>
      </c>
      <c r="F59" s="42" t="s">
        <v>173</v>
      </c>
      <c r="G59" s="12" t="s">
        <v>225</v>
      </c>
    </row>
    <row r="60" spans="1:7" ht="15" customHeight="1" x14ac:dyDescent="0.3">
      <c r="A60" s="9" t="s">
        <v>230</v>
      </c>
      <c r="B60" s="15">
        <v>1878</v>
      </c>
      <c r="C60" s="15">
        <v>1880</v>
      </c>
      <c r="D60" s="15">
        <v>1882</v>
      </c>
      <c r="E60" s="15">
        <v>1484</v>
      </c>
      <c r="F60" s="42" t="s">
        <v>173</v>
      </c>
      <c r="G60" s="12" t="s">
        <v>225</v>
      </c>
    </row>
    <row r="61" spans="1:7" ht="15" customHeight="1" x14ac:dyDescent="0.3">
      <c r="A61" s="32" t="s">
        <v>231</v>
      </c>
      <c r="B61" s="43">
        <f>B59+B60</f>
        <v>1878</v>
      </c>
      <c r="C61" s="43">
        <f>C59+C60</f>
        <v>1880</v>
      </c>
      <c r="D61" s="43">
        <f>D59+D60</f>
        <v>1882</v>
      </c>
      <c r="E61" s="43">
        <f>E59+E60</f>
        <v>1884</v>
      </c>
      <c r="F61" s="42" t="s">
        <v>173</v>
      </c>
    </row>
    <row r="62" spans="1:7" ht="15" customHeight="1" x14ac:dyDescent="0.3">
      <c r="A62" s="9" t="s">
        <v>232</v>
      </c>
      <c r="B62" s="15">
        <v>81</v>
      </c>
      <c r="C62" s="15">
        <v>66</v>
      </c>
      <c r="D62" s="15">
        <v>66</v>
      </c>
      <c r="E62" s="15">
        <v>67</v>
      </c>
      <c r="F62" s="42" t="s">
        <v>173</v>
      </c>
      <c r="G62" s="11" t="s">
        <v>233</v>
      </c>
    </row>
    <row r="63" spans="1:7" ht="15" customHeight="1" x14ac:dyDescent="0.3">
      <c r="A63" s="32" t="s">
        <v>234</v>
      </c>
      <c r="B63" s="46">
        <f>B61+B62</f>
        <v>1959</v>
      </c>
      <c r="C63" s="46">
        <f>C61+C62</f>
        <v>1946</v>
      </c>
      <c r="D63" s="46">
        <f>D61+D62</f>
        <v>1948</v>
      </c>
      <c r="E63" s="46">
        <f>E61+E62</f>
        <v>1951</v>
      </c>
      <c r="F63" s="42" t="s">
        <v>173</v>
      </c>
    </row>
    <row r="65" spans="1:7" ht="15" customHeight="1" x14ac:dyDescent="0.3">
      <c r="A65" s="32" t="s">
        <v>235</v>
      </c>
      <c r="B65" s="45">
        <f>B61-B57</f>
        <v>-1184</v>
      </c>
      <c r="C65" s="45">
        <f>C61-C57</f>
        <v>-887</v>
      </c>
      <c r="D65" s="45">
        <f>D61-D57</f>
        <v>-1380</v>
      </c>
      <c r="E65" s="45">
        <f>E61-E57</f>
        <v>-364</v>
      </c>
      <c r="F65" s="42" t="s">
        <v>173</v>
      </c>
    </row>
    <row r="67" spans="1:7" ht="15" customHeight="1" x14ac:dyDescent="0.3">
      <c r="A67" s="9" t="s">
        <v>236</v>
      </c>
      <c r="B67" s="15">
        <v>5387</v>
      </c>
      <c r="C67" s="15">
        <v>5380</v>
      </c>
      <c r="D67" s="15">
        <v>5379</v>
      </c>
      <c r="E67" s="15">
        <v>5376</v>
      </c>
      <c r="F67" s="42" t="s">
        <v>173</v>
      </c>
      <c r="G67" s="11" t="s">
        <v>237</v>
      </c>
    </row>
    <row r="68" spans="1:7" ht="15" customHeight="1" x14ac:dyDescent="0.3">
      <c r="A68" s="9" t="s">
        <v>238</v>
      </c>
      <c r="B68" s="15">
        <v>13800</v>
      </c>
      <c r="C68" s="15">
        <v>13459</v>
      </c>
      <c r="D68" s="15">
        <v>13420</v>
      </c>
      <c r="E68" s="15">
        <v>12368</v>
      </c>
      <c r="F68" s="42" t="s">
        <v>173</v>
      </c>
      <c r="G68" s="12" t="s">
        <v>225</v>
      </c>
    </row>
    <row r="69" spans="1:7" ht="15" customHeight="1" x14ac:dyDescent="0.3">
      <c r="A69" s="9" t="s">
        <v>239</v>
      </c>
      <c r="B69" s="15">
        <v>7625</v>
      </c>
      <c r="C69" s="15">
        <v>7293</v>
      </c>
      <c r="D69" s="15">
        <v>7513</v>
      </c>
      <c r="E69" s="15">
        <v>6386</v>
      </c>
      <c r="F69" s="42" t="s">
        <v>173</v>
      </c>
      <c r="G69" s="12" t="s">
        <v>225</v>
      </c>
    </row>
    <row r="70" spans="1:7" ht="15" customHeight="1" x14ac:dyDescent="0.3">
      <c r="A70" s="9" t="s">
        <v>240</v>
      </c>
      <c r="B70" s="15">
        <v>2024</v>
      </c>
      <c r="C70" s="15">
        <v>1901</v>
      </c>
      <c r="D70" s="15">
        <v>1814</v>
      </c>
      <c r="E70" s="15">
        <v>1700</v>
      </c>
      <c r="F70" s="42" t="s">
        <v>173</v>
      </c>
      <c r="G70" s="11" t="s">
        <v>237</v>
      </c>
    </row>
    <row r="73" spans="1:7" ht="14.25" customHeight="1" x14ac:dyDescent="0.3">
      <c r="A73" s="1" t="s">
        <v>241</v>
      </c>
      <c r="B73" s="1"/>
      <c r="C73" s="1"/>
      <c r="D73" s="1"/>
      <c r="E73" s="1"/>
    </row>
    <row r="74" spans="1:7" x14ac:dyDescent="0.3">
      <c r="A74" s="38" t="s">
        <v>242</v>
      </c>
      <c r="B74" s="35">
        <v>7288</v>
      </c>
      <c r="C74" s="269" t="s">
        <v>243</v>
      </c>
      <c r="G74" s="37"/>
    </row>
    <row r="75" spans="1:7" x14ac:dyDescent="0.3">
      <c r="A75" s="38" t="s">
        <v>244</v>
      </c>
      <c r="B75" s="35">
        <v>7130</v>
      </c>
      <c r="C75" s="269" t="s">
        <v>245</v>
      </c>
      <c r="G75" s="38"/>
    </row>
    <row r="76" spans="1:7" x14ac:dyDescent="0.3">
      <c r="A76" s="38" t="s">
        <v>246</v>
      </c>
      <c r="B76" s="50">
        <v>1225</v>
      </c>
      <c r="C76" s="269" t="s">
        <v>247</v>
      </c>
      <c r="G76" s="37"/>
    </row>
    <row r="77" spans="1:7" x14ac:dyDescent="0.3">
      <c r="A77" s="38" t="s">
        <v>248</v>
      </c>
      <c r="B77" s="50">
        <v>282</v>
      </c>
      <c r="C77" s="269" t="s">
        <v>249</v>
      </c>
      <c r="G77" s="38"/>
    </row>
    <row r="78" spans="1:7" ht="14.25" customHeight="1" x14ac:dyDescent="0.3">
      <c r="A78" s="38" t="s">
        <v>250</v>
      </c>
      <c r="B78" s="39">
        <f>B76+B77</f>
        <v>1507</v>
      </c>
    </row>
    <row r="79" spans="1:7" ht="14.25" customHeight="1" x14ac:dyDescent="0.3">
      <c r="A79" s="38" t="s">
        <v>251</v>
      </c>
      <c r="B79" s="50">
        <v>203</v>
      </c>
    </row>
    <row r="80" spans="1:7" ht="14.25" customHeight="1" x14ac:dyDescent="0.3">
      <c r="A80" s="38" t="s">
        <v>252</v>
      </c>
      <c r="B80" s="50">
        <v>57</v>
      </c>
    </row>
    <row r="81" spans="1:7" ht="14.25" customHeight="1" x14ac:dyDescent="0.3">
      <c r="A81" s="38" t="s">
        <v>253</v>
      </c>
      <c r="B81" s="41">
        <f>B78+B79+B80</f>
        <v>1767</v>
      </c>
      <c r="C81" s="12" t="s">
        <v>254</v>
      </c>
      <c r="G81" s="37"/>
    </row>
    <row r="82" spans="1:7" ht="14.25" customHeight="1" x14ac:dyDescent="0.3">
      <c r="A82" s="40" t="s">
        <v>255</v>
      </c>
      <c r="B82" s="269" t="s">
        <v>256</v>
      </c>
      <c r="C82" s="11"/>
      <c r="D82" s="11"/>
      <c r="E82" s="11"/>
      <c r="F82" s="11"/>
      <c r="G82" s="11"/>
    </row>
    <row r="83" spans="1:7" ht="14.25" customHeight="1" x14ac:dyDescent="0.3">
      <c r="A83" s="1" t="s">
        <v>257</v>
      </c>
      <c r="B83" s="1"/>
      <c r="C83" s="1"/>
      <c r="D83" s="1"/>
      <c r="E83" s="1"/>
    </row>
    <row r="84" spans="1:7" ht="20.399999999999999" x14ac:dyDescent="0.3">
      <c r="A84" s="38" t="s">
        <v>258</v>
      </c>
      <c r="B84" s="51">
        <v>168.32</v>
      </c>
      <c r="C84" s="11" t="s">
        <v>259</v>
      </c>
      <c r="G84" s="37"/>
    </row>
    <row r="85" spans="1:7" x14ac:dyDescent="0.3">
      <c r="A85" s="38" t="s">
        <v>260</v>
      </c>
      <c r="B85" s="51">
        <v>179.01</v>
      </c>
      <c r="C85" s="11" t="s">
        <v>261</v>
      </c>
      <c r="G85" s="38"/>
    </row>
    <row r="86" spans="1:7" ht="20.399999999999999" x14ac:dyDescent="0.3">
      <c r="A86" s="38" t="s">
        <v>262</v>
      </c>
      <c r="B86" s="51">
        <v>116.53</v>
      </c>
      <c r="C86" s="11" t="s">
        <v>263</v>
      </c>
      <c r="G86" s="6"/>
    </row>
    <row r="87" spans="1:7" ht="20.399999999999999" x14ac:dyDescent="0.3">
      <c r="A87" s="38" t="s">
        <v>264</v>
      </c>
      <c r="B87" s="51">
        <v>171.57</v>
      </c>
      <c r="C87" s="11" t="s">
        <v>265</v>
      </c>
      <c r="G87" s="37"/>
    </row>
    <row r="88" spans="1:7" x14ac:dyDescent="0.3">
      <c r="A88" s="38" t="s">
        <v>266</v>
      </c>
      <c r="B88" s="51">
        <v>159.19999999999999</v>
      </c>
      <c r="C88" s="11" t="s">
        <v>267</v>
      </c>
      <c r="G88" s="38"/>
    </row>
    <row r="89" spans="1:7" ht="14.25" customHeight="1" x14ac:dyDescent="0.3">
      <c r="A89" s="38" t="s">
        <v>268</v>
      </c>
      <c r="B89" s="51">
        <v>154.97999999999999</v>
      </c>
      <c r="C89" s="11" t="s">
        <v>267</v>
      </c>
      <c r="G89" s="38"/>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H74"/>
  <sheetViews>
    <sheetView topLeftCell="A50" zoomScaleNormal="100" workbookViewId="0">
      <selection activeCell="H13" sqref="H13"/>
    </sheetView>
  </sheetViews>
  <sheetFormatPr defaultColWidth="8.6640625" defaultRowHeight="14.4" x14ac:dyDescent="0.3"/>
  <cols>
    <col min="1" max="1" width="45" customWidth="1"/>
    <col min="2" max="8" width="16" customWidth="1"/>
  </cols>
  <sheetData>
    <row r="1" spans="1:8" ht="15.75" customHeight="1" x14ac:dyDescent="0.3">
      <c r="A1" s="2" t="s">
        <v>269</v>
      </c>
    </row>
    <row r="2" spans="1:8" ht="15" customHeight="1" x14ac:dyDescent="0.3">
      <c r="A2" s="23" t="s">
        <v>270</v>
      </c>
    </row>
    <row r="4" spans="1:8" ht="15" customHeight="1" x14ac:dyDescent="0.3">
      <c r="A4" s="7" t="s">
        <v>271</v>
      </c>
      <c r="B4" s="8"/>
      <c r="C4" s="8"/>
    </row>
    <row r="5" spans="1:8" ht="15" customHeight="1" x14ac:dyDescent="0.3">
      <c r="A5" s="9" t="s">
        <v>272</v>
      </c>
      <c r="B5" s="10" t="s">
        <v>273</v>
      </c>
      <c r="C5" s="12" t="s">
        <v>274</v>
      </c>
    </row>
    <row r="6" spans="1:8" ht="15" customHeight="1" x14ac:dyDescent="0.3">
      <c r="A6" s="9" t="s">
        <v>275</v>
      </c>
      <c r="B6" s="10" t="s">
        <v>276</v>
      </c>
      <c r="C6" s="12" t="s">
        <v>274</v>
      </c>
    </row>
    <row r="7" spans="1:8" ht="15" customHeight="1" x14ac:dyDescent="0.3">
      <c r="A7" s="9" t="s">
        <v>277</v>
      </c>
      <c r="B7" s="10" t="s">
        <v>278</v>
      </c>
      <c r="C7" s="12" t="s">
        <v>279</v>
      </c>
    </row>
    <row r="8" spans="1:8" ht="15" customHeight="1" x14ac:dyDescent="0.3">
      <c r="A8" s="9" t="s">
        <v>280</v>
      </c>
      <c r="B8" s="10" t="s">
        <v>281</v>
      </c>
      <c r="C8" s="12" t="s">
        <v>274</v>
      </c>
    </row>
    <row r="9" spans="1:8" ht="15" customHeight="1" x14ac:dyDescent="0.3">
      <c r="A9" s="9" t="s">
        <v>282</v>
      </c>
      <c r="B9" s="10" t="s">
        <v>283</v>
      </c>
      <c r="C9" s="12" t="s">
        <v>284</v>
      </c>
    </row>
    <row r="10" spans="1:8" ht="14.25" customHeight="1" x14ac:dyDescent="0.3">
      <c r="A10" s="9" t="s">
        <v>285</v>
      </c>
      <c r="B10" s="10" t="s">
        <v>286</v>
      </c>
      <c r="C10" s="12" t="s">
        <v>287</v>
      </c>
    </row>
    <row r="11" spans="1:8" ht="20.399999999999999" x14ac:dyDescent="0.3">
      <c r="A11" s="9" t="s">
        <v>288</v>
      </c>
      <c r="B11" s="10" t="s">
        <v>289</v>
      </c>
      <c r="C11" s="11" t="s">
        <v>290</v>
      </c>
    </row>
    <row r="12" spans="1:8" ht="15" customHeight="1" x14ac:dyDescent="0.3">
      <c r="A12" s="9"/>
      <c r="B12" s="10"/>
      <c r="C12" s="12"/>
    </row>
    <row r="13" spans="1:8" ht="15" customHeight="1" x14ac:dyDescent="0.3">
      <c r="A13" s="27" t="s">
        <v>291</v>
      </c>
      <c r="B13" s="52" t="s">
        <v>292</v>
      </c>
      <c r="C13" s="12" t="s">
        <v>293</v>
      </c>
    </row>
    <row r="14" spans="1:8" ht="15" customHeight="1" x14ac:dyDescent="0.3">
      <c r="A14" s="9" t="s">
        <v>14</v>
      </c>
      <c r="B14" s="10" t="s">
        <v>294</v>
      </c>
      <c r="C14" s="12" t="s">
        <v>295</v>
      </c>
    </row>
    <row r="16" spans="1:8" ht="15" customHeight="1" x14ac:dyDescent="0.3">
      <c r="A16" s="7" t="s">
        <v>296</v>
      </c>
      <c r="B16" s="8"/>
      <c r="C16" s="8"/>
      <c r="D16" s="8"/>
      <c r="E16" s="8"/>
      <c r="F16" s="8"/>
      <c r="G16" s="8"/>
      <c r="H16" s="8"/>
    </row>
    <row r="17" spans="1:8" ht="15" customHeight="1" x14ac:dyDescent="0.3">
      <c r="A17" s="53"/>
      <c r="B17" s="53" t="s">
        <v>297</v>
      </c>
      <c r="C17" s="53" t="s">
        <v>298</v>
      </c>
      <c r="D17" s="53" t="s">
        <v>299</v>
      </c>
      <c r="E17" s="53" t="s">
        <v>300</v>
      </c>
      <c r="F17" s="53" t="s">
        <v>301</v>
      </c>
      <c r="G17" s="53" t="s">
        <v>302</v>
      </c>
      <c r="H17" s="53" t="s">
        <v>113</v>
      </c>
    </row>
    <row r="18" spans="1:8" ht="15" customHeight="1" x14ac:dyDescent="0.3">
      <c r="A18" s="9" t="s">
        <v>303</v>
      </c>
      <c r="B18" s="15">
        <v>7850</v>
      </c>
      <c r="C18" s="15">
        <v>8250</v>
      </c>
      <c r="D18" s="15">
        <v>10000</v>
      </c>
      <c r="E18" s="15">
        <v>10400</v>
      </c>
      <c r="F18" s="15">
        <v>10820</v>
      </c>
      <c r="G18" s="15">
        <v>11250</v>
      </c>
      <c r="H18" s="12" t="s">
        <v>304</v>
      </c>
    </row>
    <row r="19" spans="1:8" ht="15" customHeight="1" x14ac:dyDescent="0.3">
      <c r="A19" s="9" t="s">
        <v>305</v>
      </c>
      <c r="B19" s="15">
        <v>2759</v>
      </c>
      <c r="C19" s="15">
        <v>3003</v>
      </c>
      <c r="D19" s="15">
        <v>4200</v>
      </c>
      <c r="E19" s="15">
        <v>4060</v>
      </c>
      <c r="F19" s="15">
        <v>4328</v>
      </c>
      <c r="G19" s="15">
        <v>4500</v>
      </c>
      <c r="H19" s="12" t="s">
        <v>304</v>
      </c>
    </row>
    <row r="20" spans="1:8" ht="15" customHeight="1" x14ac:dyDescent="0.3">
      <c r="A20" s="9" t="s">
        <v>306</v>
      </c>
      <c r="B20" s="15">
        <v>-680</v>
      </c>
      <c r="C20" s="15">
        <v>-680</v>
      </c>
      <c r="D20" s="15">
        <v>-680</v>
      </c>
      <c r="E20" s="15">
        <v>-680</v>
      </c>
      <c r="F20" s="15">
        <v>-680</v>
      </c>
      <c r="G20" s="15">
        <v>-680</v>
      </c>
      <c r="H20" s="12" t="s">
        <v>287</v>
      </c>
    </row>
    <row r="21" spans="1:8" ht="15" customHeight="1" x14ac:dyDescent="0.3">
      <c r="A21" s="9" t="s">
        <v>307</v>
      </c>
      <c r="B21" s="15">
        <v>-355</v>
      </c>
      <c r="C21" s="15">
        <v>-387</v>
      </c>
      <c r="D21" s="15">
        <v>-612</v>
      </c>
      <c r="E21" s="15">
        <v>-601</v>
      </c>
      <c r="F21" s="15">
        <v>-651</v>
      </c>
      <c r="G21" s="15">
        <v>-682</v>
      </c>
      <c r="H21" s="12" t="s">
        <v>304</v>
      </c>
    </row>
    <row r="22" spans="1:8" ht="15" customHeight="1" x14ac:dyDescent="0.3">
      <c r="A22" s="9" t="s">
        <v>308</v>
      </c>
      <c r="B22" s="15">
        <v>209</v>
      </c>
      <c r="C22" s="15">
        <v>288</v>
      </c>
      <c r="D22" s="15">
        <v>300</v>
      </c>
      <c r="E22" s="15">
        <v>215</v>
      </c>
      <c r="F22" s="15">
        <v>220</v>
      </c>
      <c r="G22" s="15">
        <v>230</v>
      </c>
      <c r="H22" s="12" t="s">
        <v>304</v>
      </c>
    </row>
    <row r="23" spans="1:8" ht="15" customHeight="1" x14ac:dyDescent="0.3">
      <c r="A23" s="9" t="s">
        <v>309</v>
      </c>
      <c r="B23" s="15">
        <v>29</v>
      </c>
      <c r="C23" s="15">
        <v>-33</v>
      </c>
      <c r="D23" s="15">
        <v>-142</v>
      </c>
      <c r="E23" s="15">
        <v>-33</v>
      </c>
      <c r="F23" s="15">
        <v>-35</v>
      </c>
      <c r="G23" s="15">
        <v>-35</v>
      </c>
      <c r="H23" s="12" t="s">
        <v>304</v>
      </c>
    </row>
    <row r="24" spans="1:8" ht="15" customHeight="1" x14ac:dyDescent="0.3">
      <c r="A24" s="9" t="s">
        <v>310</v>
      </c>
      <c r="B24" s="46">
        <f t="shared" ref="B24:G24" si="0">B25-B19-B20-B21-B22-B23</f>
        <v>-459</v>
      </c>
      <c r="C24" s="46">
        <f t="shared" si="0"/>
        <v>-513</v>
      </c>
      <c r="D24" s="46">
        <f t="shared" si="0"/>
        <v>-525</v>
      </c>
      <c r="E24" s="46">
        <f t="shared" si="0"/>
        <v>-441</v>
      </c>
      <c r="F24" s="46">
        <f t="shared" si="0"/>
        <v>-445</v>
      </c>
      <c r="G24" s="46">
        <f t="shared" si="0"/>
        <v>-455</v>
      </c>
      <c r="H24" s="12" t="s">
        <v>311</v>
      </c>
    </row>
    <row r="25" spans="1:8" ht="15" customHeight="1" x14ac:dyDescent="0.3">
      <c r="A25" s="32" t="s">
        <v>312</v>
      </c>
      <c r="B25" s="54">
        <v>1503</v>
      </c>
      <c r="C25" s="54">
        <v>1678</v>
      </c>
      <c r="D25" s="54">
        <v>2541</v>
      </c>
      <c r="E25" s="54">
        <v>2520</v>
      </c>
      <c r="F25" s="54">
        <v>2737</v>
      </c>
      <c r="G25" s="54">
        <v>2878</v>
      </c>
      <c r="H25" s="12" t="s">
        <v>304</v>
      </c>
    </row>
    <row r="26" spans="1:8" ht="15" customHeight="1" x14ac:dyDescent="0.3">
      <c r="A26" s="9"/>
      <c r="H26" s="12"/>
    </row>
    <row r="27" spans="1:8" ht="15" customHeight="1" x14ac:dyDescent="0.3">
      <c r="A27" s="9" t="s">
        <v>313</v>
      </c>
      <c r="B27" s="15">
        <v>46</v>
      </c>
      <c r="C27" s="15">
        <v>143</v>
      </c>
      <c r="D27" s="15">
        <v>141</v>
      </c>
      <c r="E27" s="15">
        <v>126</v>
      </c>
      <c r="F27" s="15">
        <v>104</v>
      </c>
      <c r="G27" s="15">
        <v>41</v>
      </c>
      <c r="H27" s="12" t="s">
        <v>314</v>
      </c>
    </row>
    <row r="30" spans="1:8" ht="15" customHeight="1" x14ac:dyDescent="0.3">
      <c r="A30" s="7" t="s">
        <v>315</v>
      </c>
      <c r="B30" s="8"/>
    </row>
    <row r="31" spans="1:8" ht="15" customHeight="1" x14ac:dyDescent="0.3">
      <c r="A31" s="40" t="s">
        <v>316</v>
      </c>
    </row>
    <row r="32" spans="1:8" ht="15" customHeight="1" x14ac:dyDescent="0.3">
      <c r="A32" s="22" t="s">
        <v>317</v>
      </c>
    </row>
    <row r="34" spans="1:4" ht="15" customHeight="1" x14ac:dyDescent="0.3">
      <c r="A34" s="53" t="s">
        <v>318</v>
      </c>
      <c r="B34" s="53" t="s">
        <v>319</v>
      </c>
      <c r="C34" s="53" t="s">
        <v>320</v>
      </c>
      <c r="D34" s="53" t="s">
        <v>321</v>
      </c>
    </row>
    <row r="35" spans="1:4" ht="15" customHeight="1" x14ac:dyDescent="0.3">
      <c r="A35" s="55" t="s">
        <v>322</v>
      </c>
      <c r="B35" s="56">
        <v>182</v>
      </c>
      <c r="C35" s="57">
        <v>197</v>
      </c>
      <c r="D35" s="58">
        <v>214</v>
      </c>
    </row>
    <row r="36" spans="1:4" ht="15" customHeight="1" x14ac:dyDescent="0.3">
      <c r="A36" s="55" t="s">
        <v>323</v>
      </c>
      <c r="B36" s="57">
        <v>167</v>
      </c>
      <c r="C36" s="57">
        <v>179</v>
      </c>
      <c r="D36" s="57">
        <v>193</v>
      </c>
    </row>
    <row r="37" spans="1:4" ht="15" customHeight="1" x14ac:dyDescent="0.3">
      <c r="A37" s="55" t="s">
        <v>283</v>
      </c>
      <c r="B37" s="57">
        <v>154</v>
      </c>
      <c r="C37" s="57">
        <v>164</v>
      </c>
      <c r="D37" s="57">
        <v>176</v>
      </c>
    </row>
    <row r="38" spans="1:4" ht="15" customHeight="1" x14ac:dyDescent="0.3">
      <c r="A38" s="55" t="s">
        <v>324</v>
      </c>
      <c r="B38" s="57">
        <v>143</v>
      </c>
      <c r="C38" s="57">
        <v>152</v>
      </c>
      <c r="D38" s="57">
        <v>161</v>
      </c>
    </row>
    <row r="39" spans="1:4" ht="15" customHeight="1" x14ac:dyDescent="0.3">
      <c r="A39" s="55" t="s">
        <v>325</v>
      </c>
      <c r="B39" s="58">
        <v>134</v>
      </c>
      <c r="C39" s="57">
        <v>141</v>
      </c>
      <c r="D39" s="57">
        <v>149</v>
      </c>
    </row>
    <row r="41" spans="1:4" ht="15" customHeight="1" x14ac:dyDescent="0.3">
      <c r="A41" s="22" t="s">
        <v>326</v>
      </c>
    </row>
    <row r="42" spans="1:4" ht="15" customHeight="1" x14ac:dyDescent="0.3">
      <c r="A42" s="22" t="s">
        <v>327</v>
      </c>
    </row>
    <row r="44" spans="1:4" ht="14.25" customHeight="1" x14ac:dyDescent="0.3">
      <c r="A44" s="1" t="s">
        <v>328</v>
      </c>
    </row>
    <row r="45" spans="1:4" ht="14.25" customHeight="1" x14ac:dyDescent="0.3">
      <c r="A45" s="38" t="s">
        <v>329</v>
      </c>
      <c r="B45" s="59" t="s">
        <v>330</v>
      </c>
      <c r="C45" s="37" t="s">
        <v>331</v>
      </c>
    </row>
    <row r="46" spans="1:4" ht="14.25" customHeight="1" x14ac:dyDescent="0.3">
      <c r="A46" s="38" t="s">
        <v>332</v>
      </c>
      <c r="B46" s="59" t="s">
        <v>333</v>
      </c>
    </row>
    <row r="47" spans="1:4" ht="14.25" customHeight="1" x14ac:dyDescent="0.3">
      <c r="A47" s="38" t="s">
        <v>334</v>
      </c>
      <c r="B47" s="59" t="s">
        <v>273</v>
      </c>
      <c r="C47" s="38" t="s">
        <v>274</v>
      </c>
    </row>
    <row r="48" spans="1:4" ht="14.25" customHeight="1" x14ac:dyDescent="0.3">
      <c r="A48" s="38" t="s">
        <v>335</v>
      </c>
      <c r="B48" s="59" t="s">
        <v>336</v>
      </c>
      <c r="C48" s="37" t="s">
        <v>337</v>
      </c>
    </row>
    <row r="49" spans="1:4" ht="14.25" customHeight="1" x14ac:dyDescent="0.3">
      <c r="A49" s="38" t="s">
        <v>338</v>
      </c>
      <c r="B49" s="59" t="s">
        <v>339</v>
      </c>
      <c r="C49" s="37" t="s">
        <v>340</v>
      </c>
    </row>
    <row r="50" spans="1:4" ht="14.25" customHeight="1" x14ac:dyDescent="0.3">
      <c r="A50" s="60" t="s">
        <v>341</v>
      </c>
    </row>
    <row r="51" spans="1:4" ht="14.25" customHeight="1" x14ac:dyDescent="0.3">
      <c r="A51" s="38" t="s">
        <v>342</v>
      </c>
      <c r="B51" s="61" t="s">
        <v>343</v>
      </c>
    </row>
    <row r="52" spans="1:4" ht="14.25" customHeight="1" x14ac:dyDescent="0.3">
      <c r="A52" s="38" t="s">
        <v>344</v>
      </c>
      <c r="B52" s="61" t="s">
        <v>345</v>
      </c>
    </row>
    <row r="53" spans="1:4" ht="14.25" customHeight="1" x14ac:dyDescent="0.3">
      <c r="A53" s="38" t="s">
        <v>346</v>
      </c>
      <c r="B53" s="22" t="s">
        <v>347</v>
      </c>
    </row>
    <row r="55" spans="1:4" x14ac:dyDescent="0.3">
      <c r="A55" s="186" t="s">
        <v>1010</v>
      </c>
      <c r="B55" s="170"/>
      <c r="C55" s="170"/>
      <c r="D55" s="170"/>
    </row>
    <row r="56" spans="1:4" x14ac:dyDescent="0.3">
      <c r="A56" s="179" t="s">
        <v>1011</v>
      </c>
    </row>
    <row r="58" spans="1:4" x14ac:dyDescent="0.3">
      <c r="A58" s="187" t="s">
        <v>1012</v>
      </c>
      <c r="B58" s="181" t="s">
        <v>1013</v>
      </c>
      <c r="C58" s="181" t="s">
        <v>1014</v>
      </c>
      <c r="D58" s="181" t="s">
        <v>1015</v>
      </c>
    </row>
    <row r="59" spans="1:4" x14ac:dyDescent="0.3">
      <c r="A59" s="188" t="s">
        <v>1016</v>
      </c>
      <c r="B59" s="189">
        <v>4.2000000000000003E-2</v>
      </c>
      <c r="C59" s="189">
        <v>4.2000000000000003E-2</v>
      </c>
      <c r="D59" s="190" t="s">
        <v>1017</v>
      </c>
    </row>
    <row r="60" spans="1:4" x14ac:dyDescent="0.3">
      <c r="A60" s="188" t="s">
        <v>1018</v>
      </c>
      <c r="B60" s="189">
        <v>0.05</v>
      </c>
      <c r="C60" s="189">
        <v>0.06</v>
      </c>
      <c r="D60" s="190" t="s">
        <v>1019</v>
      </c>
    </row>
    <row r="61" spans="1:4" x14ac:dyDescent="0.3">
      <c r="A61" s="188" t="s">
        <v>1020</v>
      </c>
      <c r="B61" s="191">
        <v>0.85</v>
      </c>
      <c r="C61" s="191">
        <v>1.05</v>
      </c>
      <c r="D61" s="190" t="s">
        <v>1021</v>
      </c>
    </row>
    <row r="62" spans="1:4" x14ac:dyDescent="0.3">
      <c r="A62" s="192" t="s">
        <v>1022</v>
      </c>
      <c r="B62" s="193">
        <f>B59+B61*B60</f>
        <v>8.4500000000000006E-2</v>
      </c>
      <c r="C62" s="193">
        <f>C59+C61*C60</f>
        <v>0.10500000000000001</v>
      </c>
      <c r="D62" s="194" t="s">
        <v>1023</v>
      </c>
    </row>
    <row r="64" spans="1:4" x14ac:dyDescent="0.3">
      <c r="A64" s="187" t="s">
        <v>1024</v>
      </c>
      <c r="B64" s="170"/>
      <c r="C64" s="170"/>
      <c r="D64" s="170"/>
    </row>
    <row r="65" spans="1:4" x14ac:dyDescent="0.3">
      <c r="A65" s="188" t="s">
        <v>1025</v>
      </c>
      <c r="B65" s="189">
        <v>5.5E-2</v>
      </c>
      <c r="C65" s="189">
        <v>6.5000000000000002E-2</v>
      </c>
      <c r="D65" s="190" t="s">
        <v>1026</v>
      </c>
    </row>
    <row r="66" spans="1:4" x14ac:dyDescent="0.3">
      <c r="A66" s="188" t="s">
        <v>1027</v>
      </c>
      <c r="B66" s="195">
        <v>0.21</v>
      </c>
      <c r="C66" s="195">
        <v>0.21</v>
      </c>
      <c r="D66" s="190" t="s">
        <v>1028</v>
      </c>
    </row>
    <row r="67" spans="1:4" x14ac:dyDescent="0.3">
      <c r="A67" s="192" t="s">
        <v>1029</v>
      </c>
      <c r="B67" s="193">
        <f>B65*(1-B66)</f>
        <v>4.3450000000000003E-2</v>
      </c>
      <c r="C67" s="193">
        <f>C65*(1-C66)</f>
        <v>5.1350000000000007E-2</v>
      </c>
      <c r="D67" s="194" t="s">
        <v>1030</v>
      </c>
    </row>
    <row r="68" spans="1:4" x14ac:dyDescent="0.3">
      <c r="A68" s="188" t="s">
        <v>1031</v>
      </c>
      <c r="B68" s="195">
        <v>0.95</v>
      </c>
      <c r="C68" s="195">
        <v>0.9</v>
      </c>
      <c r="D68" s="190" t="s">
        <v>1032</v>
      </c>
    </row>
    <row r="69" spans="1:4" x14ac:dyDescent="0.3">
      <c r="A69" s="188" t="s">
        <v>1033</v>
      </c>
      <c r="B69" s="196">
        <f>1-B68</f>
        <v>5.0000000000000044E-2</v>
      </c>
      <c r="C69" s="196">
        <f>1-C68</f>
        <v>9.9999999999999978E-2</v>
      </c>
      <c r="D69" s="194" t="s">
        <v>1034</v>
      </c>
    </row>
    <row r="71" spans="1:4" x14ac:dyDescent="0.3">
      <c r="A71" s="197" t="s">
        <v>1035</v>
      </c>
      <c r="B71" s="198">
        <f>B62*B68+B67*B69</f>
        <v>8.2447500000000007E-2</v>
      </c>
      <c r="C71" s="198">
        <f>C62*C68+C67*C69</f>
        <v>9.9635000000000015E-2</v>
      </c>
      <c r="D71" s="194" t="s">
        <v>1036</v>
      </c>
    </row>
    <row r="72" spans="1:4" x14ac:dyDescent="0.3">
      <c r="A72" s="188" t="s">
        <v>1037</v>
      </c>
      <c r="B72" s="199">
        <v>7.4999999999999997E-2</v>
      </c>
      <c r="C72" s="199">
        <v>9.5000000000000001E-2</v>
      </c>
      <c r="D72" s="190" t="s">
        <v>1038</v>
      </c>
    </row>
    <row r="74" spans="1:4" x14ac:dyDescent="0.3">
      <c r="A74" s="180" t="s">
        <v>1039</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4"/>
  <sheetViews>
    <sheetView zoomScaleNormal="100" workbookViewId="0">
      <selection activeCell="B27" sqref="B27"/>
    </sheetView>
  </sheetViews>
  <sheetFormatPr defaultColWidth="8.6640625" defaultRowHeight="14.4" x14ac:dyDescent="0.3"/>
  <cols>
    <col min="1" max="1" width="40" customWidth="1"/>
    <col min="2" max="2" width="23.33203125" bestFit="1" customWidth="1"/>
    <col min="3" max="4" width="14" customWidth="1"/>
    <col min="5" max="5" width="13" customWidth="1"/>
    <col min="6" max="6" width="15" customWidth="1"/>
    <col min="7" max="7" width="13" customWidth="1"/>
    <col min="8" max="8" width="12" customWidth="1"/>
  </cols>
  <sheetData>
    <row r="1" spans="1:8" ht="15.75" customHeight="1" x14ac:dyDescent="0.3">
      <c r="A1" s="278" t="s">
        <v>348</v>
      </c>
      <c r="B1" s="278"/>
      <c r="C1" s="278"/>
      <c r="D1" s="278"/>
      <c r="E1" s="278"/>
      <c r="F1" s="278"/>
      <c r="G1" s="278"/>
      <c r="H1" s="278"/>
    </row>
    <row r="2" spans="1:8" ht="15" customHeight="1" x14ac:dyDescent="0.3">
      <c r="A2" s="277" t="s">
        <v>270</v>
      </c>
      <c r="B2" s="277"/>
      <c r="C2" s="277"/>
      <c r="D2" s="277"/>
      <c r="E2" s="277"/>
      <c r="F2" s="277"/>
      <c r="G2" s="277"/>
      <c r="H2" s="277"/>
    </row>
    <row r="4" spans="1:8" ht="15" customHeight="1" x14ac:dyDescent="0.3">
      <c r="A4" s="279" t="s">
        <v>349</v>
      </c>
      <c r="B4" s="279"/>
      <c r="C4" s="279"/>
    </row>
    <row r="5" spans="1:8" ht="15" customHeight="1" x14ac:dyDescent="0.3">
      <c r="A5" s="9" t="s">
        <v>350</v>
      </c>
      <c r="B5" s="10" t="s">
        <v>273</v>
      </c>
      <c r="C5" s="9" t="s">
        <v>351</v>
      </c>
    </row>
    <row r="6" spans="1:8" ht="15" customHeight="1" x14ac:dyDescent="0.3">
      <c r="A6" s="9" t="s">
        <v>352</v>
      </c>
      <c r="B6" s="10" t="s">
        <v>353</v>
      </c>
      <c r="C6" s="9" t="s">
        <v>274</v>
      </c>
    </row>
    <row r="7" spans="1:8" ht="15" customHeight="1" x14ac:dyDescent="0.3">
      <c r="A7" s="9" t="s">
        <v>354</v>
      </c>
      <c r="B7" s="10" t="s">
        <v>355</v>
      </c>
      <c r="C7" s="9" t="s">
        <v>351</v>
      </c>
    </row>
    <row r="8" spans="1:8" ht="15" customHeight="1" x14ac:dyDescent="0.3">
      <c r="A8" s="9" t="s">
        <v>356</v>
      </c>
      <c r="B8" s="10" t="s">
        <v>357</v>
      </c>
      <c r="C8" s="9" t="s">
        <v>274</v>
      </c>
    </row>
    <row r="9" spans="1:8" ht="15" customHeight="1" x14ac:dyDescent="0.3">
      <c r="A9" s="9" t="s">
        <v>358</v>
      </c>
      <c r="B9" s="10" t="s">
        <v>283</v>
      </c>
      <c r="C9" s="9" t="s">
        <v>359</v>
      </c>
    </row>
    <row r="10" spans="1:8" ht="15" customHeight="1" x14ac:dyDescent="0.3">
      <c r="A10" s="9" t="s">
        <v>360</v>
      </c>
      <c r="B10" s="10" t="s">
        <v>361</v>
      </c>
      <c r="C10" s="17" t="s">
        <v>362</v>
      </c>
    </row>
    <row r="11" spans="1:8" ht="15" customHeight="1" x14ac:dyDescent="0.3">
      <c r="A11" s="9" t="s">
        <v>363</v>
      </c>
      <c r="B11" s="10" t="s">
        <v>364</v>
      </c>
      <c r="C11" s="9" t="s">
        <v>365</v>
      </c>
    </row>
    <row r="12" spans="1:8" ht="15" customHeight="1" x14ac:dyDescent="0.3">
      <c r="A12" s="9" t="s">
        <v>366</v>
      </c>
      <c r="B12" s="10" t="s">
        <v>367</v>
      </c>
      <c r="C12" s="9" t="s">
        <v>365</v>
      </c>
    </row>
    <row r="13" spans="1:8" ht="15" customHeight="1" x14ac:dyDescent="0.3">
      <c r="A13" s="9" t="s">
        <v>368</v>
      </c>
      <c r="B13" s="10" t="s">
        <v>369</v>
      </c>
      <c r="C13" s="9" t="s">
        <v>365</v>
      </c>
    </row>
    <row r="14" spans="1:8" ht="15" customHeight="1" x14ac:dyDescent="0.3">
      <c r="A14" s="9" t="s">
        <v>370</v>
      </c>
      <c r="B14" s="10" t="s">
        <v>371</v>
      </c>
      <c r="C14" s="17" t="s">
        <v>372</v>
      </c>
    </row>
    <row r="16" spans="1:8" ht="15" customHeight="1" x14ac:dyDescent="0.3">
      <c r="A16" s="279" t="s">
        <v>373</v>
      </c>
      <c r="B16" s="279"/>
      <c r="C16" s="279"/>
    </row>
    <row r="17" spans="1:8" ht="15" customHeight="1" x14ac:dyDescent="0.3">
      <c r="A17" s="32" t="s">
        <v>374</v>
      </c>
      <c r="B17" s="52" t="s">
        <v>375</v>
      </c>
      <c r="C17" s="167" t="s">
        <v>376</v>
      </c>
    </row>
    <row r="18" spans="1:8" ht="15" customHeight="1" x14ac:dyDescent="0.3">
      <c r="A18" s="168" t="s">
        <v>14</v>
      </c>
      <c r="B18" s="169">
        <v>210</v>
      </c>
      <c r="C18" s="168" t="s">
        <v>377</v>
      </c>
    </row>
    <row r="20" spans="1:8" ht="15" customHeight="1" x14ac:dyDescent="0.3">
      <c r="A20" s="111" t="s">
        <v>378</v>
      </c>
      <c r="B20" s="111"/>
      <c r="C20" s="111"/>
      <c r="D20" s="111"/>
      <c r="E20" s="111"/>
    </row>
    <row r="21" spans="1:8" ht="15" customHeight="1" x14ac:dyDescent="0.3">
      <c r="A21" s="32" t="s">
        <v>379</v>
      </c>
      <c r="B21" s="32" t="s">
        <v>380</v>
      </c>
      <c r="C21" s="32" t="s">
        <v>381</v>
      </c>
      <c r="D21" s="170"/>
      <c r="E21" s="170"/>
    </row>
    <row r="22" spans="1:8" ht="15" customHeight="1" x14ac:dyDescent="0.3">
      <c r="A22" s="168" t="s">
        <v>382</v>
      </c>
      <c r="B22" s="9" t="s">
        <v>383</v>
      </c>
      <c r="C22" s="131">
        <v>3003</v>
      </c>
      <c r="D22" s="3" t="s">
        <v>384</v>
      </c>
      <c r="E22" s="170"/>
    </row>
    <row r="23" spans="1:8" ht="15" customHeight="1" x14ac:dyDescent="0.3">
      <c r="A23" s="168" t="s">
        <v>385</v>
      </c>
      <c r="B23" s="9" t="s">
        <v>386</v>
      </c>
      <c r="C23" s="131">
        <v>4200</v>
      </c>
      <c r="D23" s="3" t="s">
        <v>384</v>
      </c>
      <c r="E23" s="170"/>
    </row>
    <row r="24" spans="1:8" ht="15" customHeight="1" x14ac:dyDescent="0.3">
      <c r="A24" s="168" t="s">
        <v>387</v>
      </c>
      <c r="B24" s="9" t="s">
        <v>388</v>
      </c>
      <c r="C24" s="131">
        <v>4060</v>
      </c>
      <c r="D24" s="3" t="s">
        <v>384</v>
      </c>
      <c r="E24" s="170"/>
    </row>
    <row r="26" spans="1:8" ht="15" customHeight="1" thickBot="1" x14ac:dyDescent="0.35">
      <c r="A26" s="280" t="s">
        <v>389</v>
      </c>
      <c r="B26" s="280"/>
      <c r="C26" s="280"/>
      <c r="D26" s="280"/>
      <c r="E26" s="280"/>
      <c r="F26" s="280"/>
      <c r="G26" s="280"/>
      <c r="H26" s="280"/>
    </row>
    <row r="27" spans="1:8" ht="15" customHeight="1" x14ac:dyDescent="0.3">
      <c r="A27" s="223" t="s">
        <v>390</v>
      </c>
      <c r="B27" s="218" t="s">
        <v>391</v>
      </c>
      <c r="C27" s="218" t="s">
        <v>392</v>
      </c>
      <c r="D27" s="218" t="s">
        <v>393</v>
      </c>
      <c r="E27" s="218" t="s">
        <v>394</v>
      </c>
      <c r="F27" s="218" t="s">
        <v>395</v>
      </c>
      <c r="G27" s="218" t="s">
        <v>396</v>
      </c>
      <c r="H27" s="227" t="s">
        <v>397</v>
      </c>
    </row>
    <row r="28" spans="1:8" ht="15" customHeight="1" x14ac:dyDescent="0.3">
      <c r="A28" s="224" t="s">
        <v>398</v>
      </c>
      <c r="B28" s="171">
        <v>14</v>
      </c>
      <c r="C28" s="172">
        <f>C22</f>
        <v>3003</v>
      </c>
      <c r="D28" s="172">
        <f t="shared" ref="D28:D36" si="0">B28*C28</f>
        <v>42042</v>
      </c>
      <c r="E28" s="126">
        <v>364</v>
      </c>
      <c r="F28" s="173">
        <f>(D28+E28)/255.6</f>
        <v>165.90766823161189</v>
      </c>
      <c r="G28" s="173">
        <f>F28/(1.085^0.75)</f>
        <v>156.06091751161418</v>
      </c>
      <c r="H28" s="228">
        <f>G28+0.74</f>
        <v>156.80091751161419</v>
      </c>
    </row>
    <row r="29" spans="1:8" ht="15" customHeight="1" x14ac:dyDescent="0.3">
      <c r="A29" s="231" t="s">
        <v>398</v>
      </c>
      <c r="B29" s="232">
        <v>15</v>
      </c>
      <c r="C29" s="233">
        <f>C22</f>
        <v>3003</v>
      </c>
      <c r="D29" s="233">
        <f t="shared" si="0"/>
        <v>45045</v>
      </c>
      <c r="E29" s="234">
        <v>364</v>
      </c>
      <c r="F29" s="235">
        <f>(D29+E29)/255.6</f>
        <v>177.6564945226917</v>
      </c>
      <c r="G29" s="235">
        <f>F29/(1.085^0.75)</f>
        <v>167.11244171308041</v>
      </c>
      <c r="H29" s="236">
        <f>G29+0.74</f>
        <v>167.85244171308042</v>
      </c>
    </row>
    <row r="30" spans="1:8" ht="15" customHeight="1" thickBot="1" x14ac:dyDescent="0.35">
      <c r="A30" s="243" t="s">
        <v>398</v>
      </c>
      <c r="B30" s="244">
        <v>16</v>
      </c>
      <c r="C30" s="245">
        <f>C22</f>
        <v>3003</v>
      </c>
      <c r="D30" s="245">
        <f t="shared" si="0"/>
        <v>48048</v>
      </c>
      <c r="E30" s="246">
        <v>364</v>
      </c>
      <c r="F30" s="247">
        <f>(D30+E30)/255.6</f>
        <v>189.40532081377151</v>
      </c>
      <c r="G30" s="247">
        <f>F30/(1.085^0.75)</f>
        <v>178.16396591454665</v>
      </c>
      <c r="H30" s="248">
        <f>G30+0.74</f>
        <v>178.90396591454666</v>
      </c>
    </row>
    <row r="31" spans="1:8" ht="15" customHeight="1" x14ac:dyDescent="0.3">
      <c r="A31" s="237" t="s">
        <v>399</v>
      </c>
      <c r="B31" s="238">
        <v>14</v>
      </c>
      <c r="C31" s="239">
        <f>C23</f>
        <v>4200</v>
      </c>
      <c r="D31" s="239">
        <f t="shared" si="0"/>
        <v>58800</v>
      </c>
      <c r="E31" s="240">
        <v>364</v>
      </c>
      <c r="F31" s="241">
        <f>(D31+E31)/250.3</f>
        <v>236.37235317618857</v>
      </c>
      <c r="G31" s="241">
        <f>F31/(1.085^1.75)</f>
        <v>204.92485523646087</v>
      </c>
      <c r="H31" s="242">
        <f>G31+1.42</f>
        <v>206.34485523646086</v>
      </c>
    </row>
    <row r="32" spans="1:8" ht="15" customHeight="1" x14ac:dyDescent="0.3">
      <c r="A32" s="231" t="s">
        <v>399</v>
      </c>
      <c r="B32" s="232">
        <v>15</v>
      </c>
      <c r="C32" s="233">
        <f>C23</f>
        <v>4200</v>
      </c>
      <c r="D32" s="233">
        <f t="shared" si="0"/>
        <v>63000</v>
      </c>
      <c r="E32" s="234">
        <v>364</v>
      </c>
      <c r="F32" s="235">
        <f>(D32+E32)/250.3</f>
        <v>253.15221733919296</v>
      </c>
      <c r="G32" s="235">
        <f>F32/(1.085^1.75)</f>
        <v>219.47228935168525</v>
      </c>
      <c r="H32" s="236">
        <f>G32+1.42</f>
        <v>220.89228935168524</v>
      </c>
    </row>
    <row r="33" spans="1:8" ht="15" customHeight="1" thickBot="1" x14ac:dyDescent="0.35">
      <c r="A33" s="249" t="s">
        <v>399</v>
      </c>
      <c r="B33" s="250">
        <v>16</v>
      </c>
      <c r="C33" s="251">
        <f>C23</f>
        <v>4200</v>
      </c>
      <c r="D33" s="251">
        <f t="shared" si="0"/>
        <v>67200</v>
      </c>
      <c r="E33" s="252">
        <v>364</v>
      </c>
      <c r="F33" s="253">
        <f>(D33+E33)/250.3</f>
        <v>269.93208150219738</v>
      </c>
      <c r="G33" s="253">
        <f>F33/(1.085^1.75)</f>
        <v>234.01972346690965</v>
      </c>
      <c r="H33" s="254">
        <f>G33+1.42</f>
        <v>235.43972346690964</v>
      </c>
    </row>
    <row r="34" spans="1:8" ht="15" customHeight="1" x14ac:dyDescent="0.3">
      <c r="A34" s="237" t="s">
        <v>400</v>
      </c>
      <c r="B34" s="238">
        <v>14</v>
      </c>
      <c r="C34" s="239">
        <f>C24</f>
        <v>4060</v>
      </c>
      <c r="D34" s="239">
        <f t="shared" si="0"/>
        <v>56840</v>
      </c>
      <c r="E34" s="240">
        <v>364</v>
      </c>
      <c r="F34" s="241">
        <f>(D34+E34)/243.3</f>
        <v>235.11713933415535</v>
      </c>
      <c r="G34" s="241">
        <f>F34/(1.085^2.75)</f>
        <v>187.86786894537224</v>
      </c>
      <c r="H34" s="242">
        <f>G34+2.05</f>
        <v>189.91786894537225</v>
      </c>
    </row>
    <row r="35" spans="1:8" ht="15" customHeight="1" x14ac:dyDescent="0.3">
      <c r="A35" s="225" t="s">
        <v>400</v>
      </c>
      <c r="B35" s="143">
        <v>15</v>
      </c>
      <c r="C35" s="115">
        <f>C24</f>
        <v>4060</v>
      </c>
      <c r="D35" s="115">
        <f t="shared" si="0"/>
        <v>60900</v>
      </c>
      <c r="E35" s="131">
        <v>364</v>
      </c>
      <c r="F35" s="30">
        <f>(D35+E35)/243.3</f>
        <v>251.80435676120015</v>
      </c>
      <c r="G35" s="30">
        <f>F35/(1.085^2.75)</f>
        <v>201.20161392681081</v>
      </c>
      <c r="H35" s="229">
        <f>G35+2.05</f>
        <v>203.25161392681082</v>
      </c>
    </row>
    <row r="36" spans="1:8" ht="15" customHeight="1" thickBot="1" x14ac:dyDescent="0.35">
      <c r="A36" s="226" t="s">
        <v>400</v>
      </c>
      <c r="B36" s="219">
        <v>16</v>
      </c>
      <c r="C36" s="220">
        <f>C24</f>
        <v>4060</v>
      </c>
      <c r="D36" s="220">
        <f t="shared" si="0"/>
        <v>64960</v>
      </c>
      <c r="E36" s="221">
        <v>364</v>
      </c>
      <c r="F36" s="222">
        <f>(D36+E36)/243.3</f>
        <v>268.49157418824495</v>
      </c>
      <c r="G36" s="222">
        <f>F36/(1.085^2.75)</f>
        <v>214.53535890824938</v>
      </c>
      <c r="H36" s="230">
        <f>G36+2.05</f>
        <v>216.58535890824939</v>
      </c>
    </row>
    <row r="38" spans="1:8" ht="15" customHeight="1" x14ac:dyDescent="0.3">
      <c r="A38" s="1" t="s">
        <v>401</v>
      </c>
      <c r="B38" s="1"/>
      <c r="C38" s="1"/>
      <c r="D38" s="1"/>
    </row>
    <row r="40" spans="1:8" ht="15" customHeight="1" x14ac:dyDescent="0.3">
      <c r="A40" s="32" t="s">
        <v>402</v>
      </c>
      <c r="B40" s="32" t="s">
        <v>403</v>
      </c>
      <c r="C40" s="32" t="s">
        <v>404</v>
      </c>
      <c r="D40" s="32" t="s">
        <v>405</v>
      </c>
    </row>
    <row r="41" spans="1:8" ht="15" customHeight="1" x14ac:dyDescent="0.3">
      <c r="A41" s="9" t="s">
        <v>406</v>
      </c>
      <c r="B41" s="174">
        <f>H28</f>
        <v>156.80091751161419</v>
      </c>
      <c r="C41" s="175">
        <f>H29</f>
        <v>167.85244171308042</v>
      </c>
      <c r="D41" s="175">
        <f>H30</f>
        <v>178.90396591454666</v>
      </c>
    </row>
    <row r="42" spans="1:8" ht="15" customHeight="1" x14ac:dyDescent="0.3">
      <c r="A42" s="9" t="s">
        <v>407</v>
      </c>
      <c r="B42" s="175">
        <f>H31</f>
        <v>206.34485523646086</v>
      </c>
      <c r="C42" s="175">
        <f>H32</f>
        <v>220.89228935168524</v>
      </c>
      <c r="D42" s="174">
        <f>H33</f>
        <v>235.43972346690964</v>
      </c>
    </row>
    <row r="43" spans="1:8" ht="15" customHeight="1" x14ac:dyDescent="0.3">
      <c r="A43" s="9" t="s">
        <v>408</v>
      </c>
      <c r="B43" s="175">
        <f>H34</f>
        <v>189.91786894537225</v>
      </c>
      <c r="C43" s="175">
        <f>H35</f>
        <v>203.25161392681082</v>
      </c>
      <c r="D43" s="175">
        <f>H36</f>
        <v>216.58535890824939</v>
      </c>
    </row>
    <row r="45" spans="1:8" ht="15" customHeight="1" x14ac:dyDescent="0.3">
      <c r="A45" s="1" t="s">
        <v>409</v>
      </c>
      <c r="B45" s="1"/>
      <c r="C45" s="1"/>
      <c r="D45" s="1"/>
    </row>
    <row r="46" spans="1:8" ht="15" customHeight="1" x14ac:dyDescent="0.3">
      <c r="A46" s="32" t="s">
        <v>410</v>
      </c>
      <c r="B46" s="168" t="s">
        <v>411</v>
      </c>
      <c r="C46" s="176" t="s">
        <v>412</v>
      </c>
    </row>
    <row r="47" spans="1:8" ht="15" customHeight="1" x14ac:dyDescent="0.3">
      <c r="A47" s="32" t="s">
        <v>413</v>
      </c>
      <c r="B47" s="168" t="s">
        <v>414</v>
      </c>
      <c r="C47" s="176" t="s">
        <v>415</v>
      </c>
    </row>
    <row r="48" spans="1:8" ht="15" customHeight="1" x14ac:dyDescent="0.3">
      <c r="A48" s="277" t="s">
        <v>416</v>
      </c>
      <c r="B48" s="277"/>
      <c r="C48" s="277"/>
      <c r="D48" s="277"/>
      <c r="E48" s="277"/>
      <c r="F48" s="277"/>
    </row>
    <row r="49" spans="1:6" ht="15" customHeight="1" x14ac:dyDescent="0.3">
      <c r="A49" s="277" t="s">
        <v>417</v>
      </c>
      <c r="B49" s="277"/>
      <c r="C49" s="277"/>
      <c r="D49" s="277"/>
      <c r="E49" s="277"/>
      <c r="F49" s="277"/>
    </row>
    <row r="51" spans="1:6" ht="15" customHeight="1" x14ac:dyDescent="0.3">
      <c r="A51" s="22" t="s">
        <v>418</v>
      </c>
    </row>
    <row r="53" spans="1:6" ht="15" customHeight="1" x14ac:dyDescent="0.3">
      <c r="A53" s="1" t="s">
        <v>419</v>
      </c>
      <c r="B53" s="1"/>
      <c r="C53" s="1"/>
      <c r="D53" s="1"/>
    </row>
    <row r="54" spans="1:6" ht="15" customHeight="1" x14ac:dyDescent="0.3">
      <c r="A54" s="3" t="s">
        <v>420</v>
      </c>
    </row>
    <row r="55" spans="1:6" ht="15" customHeight="1" x14ac:dyDescent="0.3">
      <c r="A55" s="3" t="s">
        <v>421</v>
      </c>
    </row>
    <row r="56" spans="1:6" ht="15" customHeight="1" x14ac:dyDescent="0.3">
      <c r="A56" s="3" t="s">
        <v>422</v>
      </c>
    </row>
    <row r="57" spans="1:6" ht="15" customHeight="1" x14ac:dyDescent="0.3">
      <c r="A57" s="3" t="s">
        <v>423</v>
      </c>
    </row>
    <row r="58" spans="1:6" ht="15" customHeight="1" x14ac:dyDescent="0.3">
      <c r="A58" s="3" t="s">
        <v>424</v>
      </c>
    </row>
    <row r="59" spans="1:6" ht="15" customHeight="1" x14ac:dyDescent="0.3">
      <c r="A59" s="3" t="s">
        <v>425</v>
      </c>
    </row>
    <row r="60" spans="1:6" ht="15" customHeight="1" x14ac:dyDescent="0.3">
      <c r="A60" s="3" t="s">
        <v>426</v>
      </c>
    </row>
    <row r="62" spans="1:6" ht="15" customHeight="1" x14ac:dyDescent="0.3">
      <c r="A62" s="40" t="s">
        <v>427</v>
      </c>
    </row>
    <row r="63" spans="1:6" ht="15" customHeight="1" x14ac:dyDescent="0.3">
      <c r="A63" s="3" t="s">
        <v>428</v>
      </c>
    </row>
    <row r="64" spans="1:6" ht="15" customHeight="1" x14ac:dyDescent="0.3">
      <c r="A64" s="3" t="s">
        <v>429</v>
      </c>
    </row>
  </sheetData>
  <mergeCells count="7">
    <mergeCell ref="A48:F48"/>
    <mergeCell ref="A49:F49"/>
    <mergeCell ref="A1:H1"/>
    <mergeCell ref="A2:H2"/>
    <mergeCell ref="A4:C4"/>
    <mergeCell ref="A16:C16"/>
    <mergeCell ref="A26:H2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N74"/>
  <sheetViews>
    <sheetView topLeftCell="A64" zoomScaleNormal="100" workbookViewId="0">
      <selection activeCell="D22" sqref="D22"/>
    </sheetView>
  </sheetViews>
  <sheetFormatPr defaultColWidth="8.6640625" defaultRowHeight="14.4" x14ac:dyDescent="0.3"/>
  <cols>
    <col min="1" max="1" width="45" customWidth="1"/>
    <col min="2" max="14" width="18" customWidth="1"/>
  </cols>
  <sheetData>
    <row r="1" spans="1:14" ht="15.75" customHeight="1" x14ac:dyDescent="0.3">
      <c r="A1" s="2" t="s">
        <v>430</v>
      </c>
      <c r="B1" s="22"/>
      <c r="C1" s="22"/>
      <c r="D1" s="22"/>
      <c r="E1" s="22"/>
      <c r="F1" s="22"/>
      <c r="G1" s="22"/>
      <c r="H1" s="22"/>
      <c r="I1" s="22"/>
      <c r="J1" s="22"/>
      <c r="K1" s="22"/>
      <c r="L1" s="22"/>
      <c r="M1" s="22"/>
      <c r="N1" s="22"/>
    </row>
    <row r="2" spans="1:14" ht="15" customHeight="1" x14ac:dyDescent="0.3">
      <c r="A2" s="3" t="s">
        <v>431</v>
      </c>
      <c r="B2" s="22"/>
      <c r="C2" s="22"/>
      <c r="D2" s="22"/>
      <c r="E2" s="22"/>
      <c r="F2" s="22"/>
      <c r="G2" s="22"/>
      <c r="H2" s="22"/>
      <c r="I2" s="22"/>
      <c r="J2" s="22"/>
      <c r="K2" s="22"/>
      <c r="L2" s="22"/>
      <c r="M2" s="22"/>
      <c r="N2" s="22"/>
    </row>
    <row r="3" spans="1:14" ht="14.25" customHeight="1" x14ac:dyDescent="0.3">
      <c r="A3" s="3" t="s">
        <v>432</v>
      </c>
      <c r="B3" s="22"/>
      <c r="C3" s="22"/>
      <c r="D3" s="22"/>
      <c r="E3" s="22"/>
      <c r="F3" s="22"/>
      <c r="G3" s="22"/>
      <c r="H3" s="22"/>
      <c r="I3" s="22"/>
      <c r="J3" s="22"/>
      <c r="K3" s="22"/>
      <c r="L3" s="22"/>
      <c r="M3" s="22"/>
      <c r="N3" s="22"/>
    </row>
    <row r="4" spans="1:14" ht="14.25" customHeight="1" x14ac:dyDescent="0.3">
      <c r="A4" s="62" t="s">
        <v>433</v>
      </c>
      <c r="B4" s="63"/>
      <c r="C4" s="63"/>
      <c r="D4" s="63"/>
      <c r="E4" s="63"/>
      <c r="F4" s="63"/>
      <c r="G4" s="63"/>
      <c r="H4" s="63"/>
      <c r="I4" s="63"/>
      <c r="J4" s="63"/>
      <c r="K4" s="64"/>
      <c r="L4" s="64"/>
      <c r="M4" s="64"/>
      <c r="N4" s="64"/>
    </row>
    <row r="5" spans="1:14" ht="15" customHeight="1" x14ac:dyDescent="0.3">
      <c r="A5" s="24" t="s">
        <v>434</v>
      </c>
      <c r="B5" s="24" t="s">
        <v>435</v>
      </c>
      <c r="C5" s="65" t="s">
        <v>436</v>
      </c>
      <c r="D5" s="66" t="s">
        <v>437</v>
      </c>
      <c r="E5" s="67" t="s">
        <v>438</v>
      </c>
      <c r="F5" s="67" t="s">
        <v>439</v>
      </c>
      <c r="G5" s="67" t="s">
        <v>440</v>
      </c>
      <c r="H5" s="67" t="s">
        <v>441</v>
      </c>
      <c r="I5" s="67" t="s">
        <v>442</v>
      </c>
      <c r="J5" s="67" t="s">
        <v>443</v>
      </c>
      <c r="K5" s="68"/>
      <c r="L5" s="68"/>
      <c r="M5" s="69"/>
      <c r="N5" s="69"/>
    </row>
    <row r="6" spans="1:14" ht="15" customHeight="1" x14ac:dyDescent="0.3">
      <c r="A6" s="9" t="s">
        <v>444</v>
      </c>
      <c r="B6" s="9" t="s">
        <v>445</v>
      </c>
      <c r="C6" s="15">
        <v>6559100</v>
      </c>
      <c r="D6" s="15">
        <v>1576000</v>
      </c>
      <c r="E6" s="70">
        <v>0.103353</v>
      </c>
      <c r="F6" s="71">
        <v>0.20339399999999999</v>
      </c>
      <c r="G6" s="72" t="s">
        <v>446</v>
      </c>
      <c r="H6" s="26">
        <v>898531.00300000003</v>
      </c>
      <c r="I6" s="71">
        <v>-1.6881E-2</v>
      </c>
      <c r="J6" s="71">
        <v>2.7458E-2</v>
      </c>
      <c r="K6" s="68"/>
      <c r="L6" s="68"/>
      <c r="M6" s="69"/>
      <c r="N6" s="69"/>
    </row>
    <row r="7" spans="1:14" ht="15" customHeight="1" x14ac:dyDescent="0.3">
      <c r="A7" s="73" t="s">
        <v>447</v>
      </c>
      <c r="B7" s="73" t="s">
        <v>448</v>
      </c>
      <c r="C7" s="74">
        <v>2079146.7690000001</v>
      </c>
      <c r="D7" s="74">
        <v>866908.57799999998</v>
      </c>
      <c r="E7" s="75">
        <v>0.39170300000000002</v>
      </c>
      <c r="F7" s="76">
        <v>-0.11779299999999999</v>
      </c>
      <c r="G7" s="76">
        <v>-0.20885300000000001</v>
      </c>
      <c r="H7" s="77">
        <v>3823.8820000000001</v>
      </c>
      <c r="I7" s="76">
        <v>5.3206999999999997E-2</v>
      </c>
      <c r="J7" s="78" t="s">
        <v>173</v>
      </c>
      <c r="K7" s="68"/>
      <c r="L7" s="68"/>
      <c r="M7" s="69"/>
      <c r="N7" s="69"/>
    </row>
    <row r="8" spans="1:14" ht="15" customHeight="1" x14ac:dyDescent="0.3">
      <c r="A8" s="9" t="s">
        <v>449</v>
      </c>
      <c r="B8" s="9" t="s">
        <v>450</v>
      </c>
      <c r="C8" s="15">
        <v>1301663.7590000001</v>
      </c>
      <c r="D8" s="15">
        <v>573001.55700000003</v>
      </c>
      <c r="E8" s="70">
        <v>0.439554</v>
      </c>
      <c r="F8" s="71">
        <v>0.45172499999999999</v>
      </c>
      <c r="G8" s="71">
        <v>0.79685899999999998</v>
      </c>
      <c r="H8" s="26">
        <v>409128.56199999998</v>
      </c>
      <c r="I8" s="71">
        <v>0.25622299999999998</v>
      </c>
      <c r="J8" s="71">
        <v>7.4276999999999996E-2</v>
      </c>
      <c r="K8" s="68"/>
      <c r="L8" s="68"/>
      <c r="M8" s="69"/>
      <c r="N8" s="69"/>
    </row>
    <row r="9" spans="1:14" ht="15" customHeight="1" x14ac:dyDescent="0.3">
      <c r="A9" s="73" t="s">
        <v>451</v>
      </c>
      <c r="B9" s="73" t="s">
        <v>452</v>
      </c>
      <c r="C9" s="74">
        <v>2014640.683</v>
      </c>
      <c r="D9" s="74">
        <v>399653.11499999999</v>
      </c>
      <c r="E9" s="75">
        <v>0.18293300000000001</v>
      </c>
      <c r="F9" s="76">
        <v>-0.120153</v>
      </c>
      <c r="G9" s="76">
        <v>1.8015159999999999</v>
      </c>
      <c r="H9" s="77">
        <v>211075.74900000001</v>
      </c>
      <c r="I9" s="76">
        <v>0.170709</v>
      </c>
      <c r="J9" s="76">
        <v>2.7827999999999999E-2</v>
      </c>
      <c r="K9" s="68"/>
      <c r="L9" s="68"/>
      <c r="M9" s="69"/>
      <c r="N9" s="69"/>
    </row>
    <row r="10" spans="1:14" ht="15" customHeight="1" x14ac:dyDescent="0.3">
      <c r="A10" s="9" t="s">
        <v>453</v>
      </c>
      <c r="B10" s="9" t="s">
        <v>454</v>
      </c>
      <c r="C10" s="15">
        <v>2337506.077</v>
      </c>
      <c r="D10" s="15">
        <v>726845.87600000005</v>
      </c>
      <c r="E10" s="70">
        <v>0.36274499999999998</v>
      </c>
      <c r="F10" s="71">
        <v>0.22761300000000001</v>
      </c>
      <c r="G10" s="71">
        <v>-0.39563799999999999</v>
      </c>
      <c r="H10" s="26">
        <v>499619.53200000001</v>
      </c>
      <c r="I10" s="71">
        <v>0.24705299999999999</v>
      </c>
      <c r="J10" s="71">
        <v>3.0665999999999999E-2</v>
      </c>
      <c r="K10" s="68"/>
      <c r="L10" s="68"/>
      <c r="M10" s="69"/>
      <c r="N10" s="69"/>
    </row>
    <row r="11" spans="1:14" ht="15" customHeight="1" x14ac:dyDescent="0.3">
      <c r="A11" s="73" t="s">
        <v>455</v>
      </c>
      <c r="B11" s="73" t="s">
        <v>456</v>
      </c>
      <c r="C11" s="77">
        <v>15665231.278999999</v>
      </c>
      <c r="D11" s="77">
        <v>6043002.0499999998</v>
      </c>
      <c r="E11" s="75">
        <v>0.38575900000000002</v>
      </c>
      <c r="F11" s="75">
        <v>6.9619E-2</v>
      </c>
      <c r="G11" s="75">
        <v>0.177923</v>
      </c>
      <c r="H11" s="77">
        <v>4959753.2769999998</v>
      </c>
      <c r="I11" s="75">
        <v>0.33157300000000001</v>
      </c>
      <c r="J11" s="75">
        <v>1.8224000000000001E-2</v>
      </c>
      <c r="K11" s="22"/>
      <c r="L11" s="22"/>
      <c r="M11" s="22"/>
      <c r="N11" s="22"/>
    </row>
    <row r="12" spans="1:14" ht="15" customHeight="1" x14ac:dyDescent="0.3">
      <c r="A12" s="22"/>
      <c r="B12" s="22"/>
      <c r="C12" s="22"/>
      <c r="D12" s="22"/>
      <c r="E12" s="22"/>
      <c r="F12" s="22"/>
      <c r="G12" s="22"/>
      <c r="H12" s="22"/>
      <c r="I12" s="22"/>
      <c r="J12" s="22"/>
      <c r="K12" s="68"/>
      <c r="L12" s="68"/>
      <c r="M12" s="14"/>
      <c r="N12" s="14"/>
    </row>
    <row r="13" spans="1:14" ht="15" customHeight="1" x14ac:dyDescent="0.3">
      <c r="A13" s="27" t="s">
        <v>457</v>
      </c>
      <c r="B13" s="79" t="s">
        <v>458</v>
      </c>
      <c r="C13" s="80">
        <v>7306000</v>
      </c>
      <c r="D13" s="80">
        <v>2784000</v>
      </c>
      <c r="E13" s="81">
        <v>0.273063</v>
      </c>
      <c r="F13" s="81">
        <v>-5.581E-3</v>
      </c>
      <c r="G13" s="81">
        <v>-0.20883099999999999</v>
      </c>
      <c r="H13" s="80">
        <v>1875560</v>
      </c>
      <c r="I13" s="81">
        <v>0.15484700000000001</v>
      </c>
      <c r="J13" s="81">
        <v>3.0523000000000002E-2</v>
      </c>
      <c r="K13" s="68"/>
      <c r="L13" s="68"/>
      <c r="M13" s="14"/>
      <c r="N13" s="14"/>
    </row>
    <row r="14" spans="1:14" ht="15" customHeight="1" x14ac:dyDescent="0.3">
      <c r="A14" s="22"/>
      <c r="B14" s="22"/>
      <c r="C14" s="22"/>
      <c r="D14" s="22"/>
      <c r="E14" s="22"/>
      <c r="F14" s="22"/>
      <c r="G14" s="22"/>
      <c r="H14" s="22"/>
      <c r="I14" s="22"/>
      <c r="J14" s="22"/>
      <c r="K14" s="68"/>
      <c r="L14" s="68"/>
      <c r="M14" s="14"/>
      <c r="N14" s="14"/>
    </row>
    <row r="15" spans="1:14" ht="15" customHeight="1" x14ac:dyDescent="0.3">
      <c r="A15" s="7" t="s">
        <v>459</v>
      </c>
      <c r="B15" s="19"/>
      <c r="C15" s="19"/>
      <c r="D15" s="19"/>
      <c r="E15" s="19"/>
      <c r="F15" s="19"/>
      <c r="G15" s="19"/>
      <c r="H15" s="22"/>
      <c r="I15" s="22"/>
      <c r="J15" s="22"/>
      <c r="K15" s="68"/>
      <c r="L15" s="68"/>
      <c r="M15" s="14"/>
      <c r="N15" s="14"/>
    </row>
    <row r="16" spans="1:14" ht="30" customHeight="1" x14ac:dyDescent="0.3">
      <c r="A16" s="24" t="s">
        <v>434</v>
      </c>
      <c r="B16" s="24" t="s">
        <v>435</v>
      </c>
      <c r="C16" s="24" t="s">
        <v>460</v>
      </c>
      <c r="D16" s="24" t="s">
        <v>461</v>
      </c>
      <c r="E16" s="24" t="s">
        <v>462</v>
      </c>
      <c r="F16" s="24" t="s">
        <v>463</v>
      </c>
      <c r="G16" s="24" t="s">
        <v>464</v>
      </c>
      <c r="H16" s="22"/>
      <c r="I16" s="22"/>
      <c r="J16" s="22"/>
      <c r="K16" s="22"/>
      <c r="L16" s="22"/>
      <c r="M16" s="22"/>
      <c r="N16" s="22"/>
    </row>
    <row r="17" spans="1:14" ht="15" customHeight="1" x14ac:dyDescent="0.3">
      <c r="A17" s="9" t="s">
        <v>444</v>
      </c>
      <c r="B17" s="82" t="s">
        <v>445</v>
      </c>
      <c r="C17" s="83">
        <v>5.7393280000000004</v>
      </c>
      <c r="D17" s="83">
        <v>55.531534000000001</v>
      </c>
      <c r="E17" s="83">
        <v>5.461481</v>
      </c>
      <c r="F17" s="84" t="s">
        <v>446</v>
      </c>
      <c r="G17" s="71">
        <v>0</v>
      </c>
      <c r="H17" s="22"/>
      <c r="I17" s="22"/>
      <c r="J17" s="22"/>
      <c r="K17" s="22"/>
      <c r="L17" s="22"/>
      <c r="M17" s="22"/>
      <c r="N17" s="22"/>
    </row>
    <row r="18" spans="1:14" ht="15" customHeight="1" x14ac:dyDescent="0.3">
      <c r="A18" s="73" t="s">
        <v>447</v>
      </c>
      <c r="B18" s="85" t="s">
        <v>448</v>
      </c>
      <c r="C18" s="86">
        <v>1.1059870000000001</v>
      </c>
      <c r="D18" s="86">
        <v>2.8235320000000002</v>
      </c>
      <c r="E18" s="86">
        <v>0.29059299999999999</v>
      </c>
      <c r="F18" s="86">
        <v>5.2996840000000001</v>
      </c>
      <c r="G18" s="76">
        <v>0</v>
      </c>
      <c r="H18" s="22"/>
      <c r="I18" s="22"/>
      <c r="J18" s="22"/>
      <c r="K18" s="22"/>
      <c r="L18" s="22"/>
      <c r="M18" s="22"/>
      <c r="N18" s="22"/>
    </row>
    <row r="19" spans="1:14" ht="15" customHeight="1" x14ac:dyDescent="0.3">
      <c r="A19" s="9" t="s">
        <v>449</v>
      </c>
      <c r="B19" s="87" t="s">
        <v>450</v>
      </c>
      <c r="C19" s="83">
        <v>6.1536479999999996</v>
      </c>
      <c r="D19" s="83">
        <v>13.999767</v>
      </c>
      <c r="E19" s="83">
        <v>6.7029680000000003</v>
      </c>
      <c r="F19" s="83">
        <v>26.160661000000001</v>
      </c>
      <c r="G19" s="71">
        <v>1.2200000000000001E-2</v>
      </c>
      <c r="H19" s="22"/>
      <c r="I19" s="22"/>
      <c r="J19" s="22"/>
      <c r="K19" s="22"/>
      <c r="L19" s="22"/>
      <c r="M19" s="22"/>
      <c r="N19" s="22"/>
    </row>
    <row r="20" spans="1:14" ht="15" customHeight="1" x14ac:dyDescent="0.3">
      <c r="A20" s="73" t="s">
        <v>451</v>
      </c>
      <c r="B20" s="88" t="s">
        <v>452</v>
      </c>
      <c r="C20" s="86">
        <v>2.0554079999999999</v>
      </c>
      <c r="D20" s="86">
        <v>11.235866</v>
      </c>
      <c r="E20" s="86">
        <v>2.8506109999999998</v>
      </c>
      <c r="F20" s="86">
        <v>16.698649</v>
      </c>
      <c r="G20" s="76">
        <v>1.7100000000000001E-2</v>
      </c>
      <c r="H20" s="22"/>
      <c r="I20" s="22"/>
      <c r="J20" s="22"/>
      <c r="K20" s="22"/>
      <c r="L20" s="22"/>
      <c r="M20" s="22"/>
      <c r="N20" s="22"/>
    </row>
    <row r="21" spans="1:14" ht="15" customHeight="1" x14ac:dyDescent="0.3">
      <c r="A21" s="9" t="s">
        <v>453</v>
      </c>
      <c r="B21" s="82" t="s">
        <v>454</v>
      </c>
      <c r="C21" s="83">
        <v>2.3034300000000001</v>
      </c>
      <c r="D21" s="83">
        <v>6.3499939999999997</v>
      </c>
      <c r="E21" s="83">
        <v>3.1151719999999998</v>
      </c>
      <c r="F21" s="83">
        <v>12.555365999999999</v>
      </c>
      <c r="G21" s="71">
        <v>9.4319999999999994E-3</v>
      </c>
      <c r="H21" s="22"/>
      <c r="I21" s="22"/>
      <c r="J21" s="22"/>
      <c r="K21" s="22"/>
      <c r="L21" s="22"/>
      <c r="M21" s="22"/>
      <c r="N21" s="22"/>
    </row>
    <row r="22" spans="1:14" ht="15" customHeight="1" x14ac:dyDescent="0.3">
      <c r="A22" s="89" t="s">
        <v>455</v>
      </c>
      <c r="B22" s="89" t="s">
        <v>456</v>
      </c>
      <c r="C22" s="86">
        <v>3.2208519999999998</v>
      </c>
      <c r="D22" s="86">
        <v>8.3493919999999999</v>
      </c>
      <c r="E22" s="86">
        <v>4.6782019999999997</v>
      </c>
      <c r="F22" s="86">
        <v>14.113977</v>
      </c>
      <c r="G22" s="76">
        <v>2.6127999999999998E-2</v>
      </c>
      <c r="H22" s="22"/>
      <c r="I22" s="22"/>
      <c r="J22" s="22"/>
      <c r="K22" s="22"/>
      <c r="L22" s="22"/>
      <c r="M22" s="22"/>
      <c r="N22" s="22"/>
    </row>
    <row r="23" spans="1:14" ht="15" customHeight="1" x14ac:dyDescent="0.3">
      <c r="A23" s="22"/>
      <c r="B23" s="68"/>
      <c r="C23" s="68"/>
      <c r="D23" s="68"/>
      <c r="E23" s="22"/>
      <c r="F23" s="22"/>
      <c r="G23" s="22"/>
      <c r="H23" s="22"/>
      <c r="I23" s="22"/>
      <c r="J23" s="22"/>
      <c r="K23" s="22"/>
      <c r="L23" s="22"/>
      <c r="M23" s="22"/>
      <c r="N23" s="22"/>
    </row>
    <row r="24" spans="1:14" ht="15" customHeight="1" x14ac:dyDescent="0.3">
      <c r="A24" s="7" t="s">
        <v>465</v>
      </c>
      <c r="B24" s="90"/>
      <c r="C24" s="90"/>
      <c r="D24" s="90"/>
      <c r="E24" s="19"/>
      <c r="F24" s="19"/>
      <c r="G24" s="22"/>
      <c r="H24" s="22"/>
      <c r="I24" s="22"/>
      <c r="J24" s="22"/>
      <c r="K24" s="22"/>
      <c r="L24" s="22"/>
      <c r="M24" s="22"/>
      <c r="N24" s="22"/>
    </row>
    <row r="25" spans="1:14" ht="15" customHeight="1" x14ac:dyDescent="0.3">
      <c r="A25" s="24"/>
      <c r="B25" s="67" t="s">
        <v>460</v>
      </c>
      <c r="C25" s="67" t="s">
        <v>466</v>
      </c>
      <c r="D25" s="67" t="s">
        <v>467</v>
      </c>
      <c r="E25" s="24" t="s">
        <v>438</v>
      </c>
      <c r="F25" s="24" t="s">
        <v>439</v>
      </c>
      <c r="G25" s="22"/>
      <c r="H25" s="22"/>
      <c r="I25" s="22"/>
      <c r="J25" s="22"/>
      <c r="K25" s="22"/>
      <c r="L25" s="22"/>
      <c r="M25" s="22"/>
      <c r="N25" s="22"/>
    </row>
    <row r="26" spans="1:14" ht="15" customHeight="1" x14ac:dyDescent="0.3">
      <c r="A26" s="7" t="s">
        <v>468</v>
      </c>
      <c r="B26" s="91">
        <f>AVERAGE(C17:C22)</f>
        <v>3.4297754999999999</v>
      </c>
      <c r="C26" s="91">
        <f>AVERAGE(D17:D22)</f>
        <v>16.381680833333331</v>
      </c>
      <c r="D26" s="91">
        <f>AVERAGE(E17:E22)</f>
        <v>3.8498378333333334</v>
      </c>
      <c r="E26" s="92">
        <f>AVERAGE(E6:E11)</f>
        <v>0.31100783333333332</v>
      </c>
      <c r="F26" s="92">
        <f>AVERAGE(F6:F11)</f>
        <v>0.11906749999999999</v>
      </c>
      <c r="G26" s="22"/>
      <c r="H26" s="22"/>
      <c r="I26" s="22"/>
      <c r="J26" s="22"/>
      <c r="K26" s="22"/>
      <c r="L26" s="22"/>
      <c r="M26" s="22"/>
      <c r="N26" s="22"/>
    </row>
    <row r="27" spans="1:14" ht="15" customHeight="1" x14ac:dyDescent="0.3">
      <c r="A27" s="7" t="s">
        <v>469</v>
      </c>
      <c r="B27" s="91">
        <f>MEDIAN(C17:C22)</f>
        <v>2.7621409999999997</v>
      </c>
      <c r="C27" s="91">
        <f>MEDIAN(D17:D22)</f>
        <v>9.7926289999999998</v>
      </c>
      <c r="D27" s="91">
        <f>MEDIAN(E17:E22)</f>
        <v>3.896687</v>
      </c>
      <c r="E27" s="92">
        <f>MEDIAN(E6:E11)</f>
        <v>0.37425200000000003</v>
      </c>
      <c r="F27" s="92">
        <f>MEDIAN(F6:F11)</f>
        <v>0.13650649999999998</v>
      </c>
      <c r="G27" s="22"/>
      <c r="H27" s="22"/>
      <c r="I27" s="22"/>
      <c r="J27" s="22"/>
      <c r="K27" s="22"/>
      <c r="L27" s="22"/>
      <c r="M27" s="22"/>
      <c r="N27" s="22"/>
    </row>
    <row r="28" spans="1:14" ht="15" customHeight="1" x14ac:dyDescent="0.3">
      <c r="A28" s="7" t="s">
        <v>470</v>
      </c>
      <c r="B28" s="91">
        <f>PERCENTILE(C17:C22,0.25)</f>
        <v>2.1174135000000001</v>
      </c>
      <c r="C28" s="91">
        <f>PERCENTILE(D17:D22,0.25)</f>
        <v>6.8498434999999995</v>
      </c>
      <c r="D28" s="91">
        <f>PERCENTILE(E17:E22,0.25)</f>
        <v>2.9167512499999999</v>
      </c>
      <c r="E28" s="92">
        <f>PERCENTILE(E6:E11,0.25)</f>
        <v>0.22788600000000001</v>
      </c>
      <c r="F28" s="92">
        <f>PERCENTILE(F6:F11,0.25)</f>
        <v>-7.0940000000000003E-2</v>
      </c>
      <c r="G28" s="22"/>
      <c r="H28" s="22"/>
      <c r="I28" s="22"/>
      <c r="J28" s="22"/>
      <c r="K28" s="22"/>
      <c r="L28" s="22"/>
      <c r="M28" s="22"/>
      <c r="N28" s="22"/>
    </row>
    <row r="29" spans="1:14" ht="15" customHeight="1" x14ac:dyDescent="0.3">
      <c r="A29" s="7" t="s">
        <v>471</v>
      </c>
      <c r="B29" s="93">
        <f>PERCENTILE(C17:C22,0.75)</f>
        <v>5.1097090000000005</v>
      </c>
      <c r="C29" s="93">
        <f>PERCENTILE(D17:D22,0.75)</f>
        <v>13.308791750000001</v>
      </c>
      <c r="D29" s="93">
        <f>PERCENTILE(E17:E22,0.75)</f>
        <v>5.26566125</v>
      </c>
      <c r="E29" s="92">
        <f>PERCENTILE(E6:E11,0.75)</f>
        <v>0.39021700000000004</v>
      </c>
      <c r="F29" s="92">
        <f>PERCENTILE(F6:F11,0.75)</f>
        <v>0.22155825000000001</v>
      </c>
      <c r="G29" s="22"/>
      <c r="H29" s="22"/>
      <c r="I29" s="22"/>
      <c r="J29" s="22"/>
      <c r="K29" s="22"/>
      <c r="L29" s="22"/>
      <c r="M29" s="22"/>
      <c r="N29" s="22"/>
    </row>
    <row r="30" spans="1:14" ht="14.25" customHeight="1" x14ac:dyDescent="0.3">
      <c r="A30" s="40" t="s">
        <v>472</v>
      </c>
      <c r="B30" s="216">
        <f>MEDIAN(C18:C22)</f>
        <v>2.3034300000000001</v>
      </c>
      <c r="C30" s="216">
        <f>MEDIAN(D18:D22)</f>
        <v>8.3493919999999999</v>
      </c>
      <c r="D30" s="216">
        <f>MEDIAN(E18:E22)</f>
        <v>3.1151719999999998</v>
      </c>
      <c r="E30" s="4" t="s">
        <v>473</v>
      </c>
    </row>
    <row r="31" spans="1:14" ht="15" customHeight="1" x14ac:dyDescent="0.3">
      <c r="A31" s="12" t="s">
        <v>474</v>
      </c>
      <c r="B31" s="94">
        <v>3.4297749999999998</v>
      </c>
      <c r="C31" s="94">
        <v>16.381681</v>
      </c>
    </row>
    <row r="32" spans="1:14" ht="20.399999999999999" x14ac:dyDescent="0.3">
      <c r="A32" s="27" t="s">
        <v>475</v>
      </c>
      <c r="B32" s="165">
        <v>6.8145959999999999</v>
      </c>
      <c r="C32" s="165">
        <v>24.956109000000001</v>
      </c>
      <c r="D32" s="165">
        <v>7.0553850000000002</v>
      </c>
      <c r="E32" s="165">
        <v>45.610162000000003</v>
      </c>
      <c r="F32" s="11" t="s">
        <v>476</v>
      </c>
    </row>
    <row r="33" spans="1:7" ht="14.25" customHeight="1" x14ac:dyDescent="0.3">
      <c r="A33" s="40" t="s">
        <v>477</v>
      </c>
      <c r="B33" s="216">
        <f>AVERAGE(C18:C22)</f>
        <v>2.9678649999999998</v>
      </c>
      <c r="C33" s="216">
        <f>AVERAGE(D18:D22)</f>
        <v>8.5517102000000005</v>
      </c>
      <c r="D33" s="216">
        <f>AVERAGE(E18:E22)</f>
        <v>3.5275091999999999</v>
      </c>
    </row>
    <row r="34" spans="1:7" ht="14.25" customHeight="1" x14ac:dyDescent="0.3">
      <c r="A34" s="277" t="s">
        <v>478</v>
      </c>
      <c r="B34" s="277"/>
      <c r="C34" s="277"/>
      <c r="D34" s="277"/>
      <c r="E34" s="277"/>
    </row>
    <row r="35" spans="1:7" ht="15" customHeight="1" x14ac:dyDescent="0.3">
      <c r="A35" s="7" t="s">
        <v>479</v>
      </c>
      <c r="B35" s="8"/>
      <c r="C35" s="8"/>
      <c r="D35" s="8"/>
      <c r="E35" s="8"/>
      <c r="F35" s="22"/>
      <c r="G35" s="22"/>
    </row>
    <row r="36" spans="1:7" ht="15" customHeight="1" x14ac:dyDescent="0.3">
      <c r="A36" s="9" t="s">
        <v>480</v>
      </c>
      <c r="B36" s="26">
        <v>2784000</v>
      </c>
      <c r="C36" s="17" t="s">
        <v>481</v>
      </c>
    </row>
    <row r="37" spans="1:7" ht="15" customHeight="1" x14ac:dyDescent="0.3">
      <c r="A37" s="9" t="s">
        <v>482</v>
      </c>
      <c r="B37" s="26">
        <v>-364000</v>
      </c>
      <c r="C37" s="17" t="s">
        <v>483</v>
      </c>
    </row>
    <row r="38" spans="1:7" ht="18.75" customHeight="1" x14ac:dyDescent="0.3">
      <c r="A38" s="9" t="s">
        <v>484</v>
      </c>
      <c r="B38" s="26">
        <v>258700</v>
      </c>
      <c r="C38" s="11" t="s">
        <v>485</v>
      </c>
    </row>
    <row r="40" spans="1:7" ht="15" customHeight="1" x14ac:dyDescent="0.3">
      <c r="A40" s="24"/>
      <c r="B40" s="24" t="s">
        <v>486</v>
      </c>
      <c r="C40" s="24" t="s">
        <v>469</v>
      </c>
      <c r="D40" s="24" t="s">
        <v>487</v>
      </c>
      <c r="E40" s="24" t="s">
        <v>488</v>
      </c>
    </row>
    <row r="41" spans="1:7" ht="15" customHeight="1" x14ac:dyDescent="0.3">
      <c r="A41" s="9" t="s">
        <v>489</v>
      </c>
      <c r="B41" s="49">
        <f>C28</f>
        <v>6.8498434999999995</v>
      </c>
      <c r="C41" s="49">
        <f>C27</f>
        <v>9.7926289999999998</v>
      </c>
      <c r="D41" s="49">
        <f>C29</f>
        <v>13.308791750000001</v>
      </c>
      <c r="E41" s="49">
        <f>C26</f>
        <v>16.381680833333331</v>
      </c>
    </row>
    <row r="42" spans="1:7" ht="15" customHeight="1" x14ac:dyDescent="0.3">
      <c r="A42" s="9" t="s">
        <v>490</v>
      </c>
      <c r="B42" s="46">
        <f>B41*B36</f>
        <v>19069964.303999998</v>
      </c>
      <c r="C42" s="46">
        <f>C41*B36</f>
        <v>27262679.136</v>
      </c>
      <c r="D42" s="46">
        <f>D41*B36</f>
        <v>37051676.232000001</v>
      </c>
      <c r="E42" s="46">
        <f>E41*B36</f>
        <v>45606599.43999999</v>
      </c>
    </row>
    <row r="43" spans="1:7" ht="15" customHeight="1" x14ac:dyDescent="0.3">
      <c r="A43" s="9" t="s">
        <v>491</v>
      </c>
      <c r="B43" s="96">
        <f>-$B$37</f>
        <v>364000</v>
      </c>
      <c r="C43" s="96">
        <f>-$B$37</f>
        <v>364000</v>
      </c>
      <c r="D43" s="96">
        <f>-$B$37</f>
        <v>364000</v>
      </c>
      <c r="E43" s="96">
        <f>-$B$37</f>
        <v>364000</v>
      </c>
    </row>
    <row r="44" spans="1:7" ht="15" customHeight="1" x14ac:dyDescent="0.3">
      <c r="A44" s="32" t="s">
        <v>492</v>
      </c>
      <c r="B44" s="96">
        <f>B42+B43</f>
        <v>19433964.303999998</v>
      </c>
      <c r="C44" s="96">
        <f>C42+C43</f>
        <v>27626679.136</v>
      </c>
      <c r="D44" s="96">
        <f>D42+D43</f>
        <v>37415676.232000001</v>
      </c>
      <c r="E44" s="96">
        <f>E42+E43</f>
        <v>45970599.43999999</v>
      </c>
    </row>
    <row r="45" spans="1:7" ht="15" customHeight="1" x14ac:dyDescent="0.3">
      <c r="A45" s="32" t="s">
        <v>493</v>
      </c>
      <c r="B45" s="97">
        <f>B44/$B$38</f>
        <v>75.121624677232305</v>
      </c>
      <c r="C45" s="97">
        <f>C44/$B$38</f>
        <v>106.79041026671821</v>
      </c>
      <c r="D45" s="97">
        <f>D44/$B$38</f>
        <v>144.62959502126014</v>
      </c>
      <c r="E45" s="97">
        <f>E44/$B$38</f>
        <v>177.69849029764202</v>
      </c>
    </row>
    <row r="46" spans="1:7" ht="14.25" customHeight="1" x14ac:dyDescent="0.3">
      <c r="B46" s="98"/>
      <c r="C46" s="98"/>
      <c r="D46" s="98"/>
      <c r="E46" s="98"/>
    </row>
    <row r="47" spans="1:7" ht="15" customHeight="1" x14ac:dyDescent="0.3">
      <c r="A47" s="9" t="s">
        <v>494</v>
      </c>
      <c r="B47" s="25">
        <v>210</v>
      </c>
      <c r="C47" s="25">
        <v>210</v>
      </c>
      <c r="D47" s="25">
        <v>210</v>
      </c>
      <c r="E47" s="25">
        <v>210</v>
      </c>
    </row>
    <row r="49" spans="1:5" ht="15" customHeight="1" x14ac:dyDescent="0.3">
      <c r="A49" s="23" t="s">
        <v>495</v>
      </c>
    </row>
    <row r="50" spans="1:5" ht="15" customHeight="1" x14ac:dyDescent="0.3">
      <c r="A50" s="23" t="s">
        <v>496</v>
      </c>
    </row>
    <row r="53" spans="1:5" ht="14.25" customHeight="1" x14ac:dyDescent="0.3">
      <c r="A53" s="1" t="s">
        <v>497</v>
      </c>
      <c r="B53" s="1"/>
      <c r="C53" s="1"/>
      <c r="D53" s="1"/>
      <c r="E53" s="1"/>
    </row>
    <row r="54" spans="1:5" ht="14.25" customHeight="1" x14ac:dyDescent="0.3">
      <c r="A54" s="3" t="s">
        <v>498</v>
      </c>
    </row>
    <row r="55" spans="1:5" ht="14.25" customHeight="1" x14ac:dyDescent="0.3">
      <c r="A55" s="3" t="s">
        <v>499</v>
      </c>
    </row>
    <row r="57" spans="1:5" ht="14.25" customHeight="1" x14ac:dyDescent="0.3">
      <c r="A57" s="38" t="s">
        <v>500</v>
      </c>
      <c r="B57" s="35">
        <v>3003</v>
      </c>
      <c r="C57" s="3" t="s">
        <v>501</v>
      </c>
    </row>
    <row r="58" spans="1:5" ht="14.25" customHeight="1" x14ac:dyDescent="0.3">
      <c r="A58" s="38" t="s">
        <v>502</v>
      </c>
      <c r="B58" s="35">
        <v>364</v>
      </c>
      <c r="C58" s="3" t="s">
        <v>503</v>
      </c>
    </row>
    <row r="59" spans="1:5" ht="14.25" customHeight="1" x14ac:dyDescent="0.3">
      <c r="A59" s="38" t="s">
        <v>504</v>
      </c>
      <c r="B59" s="99">
        <v>258.7</v>
      </c>
      <c r="C59" s="3" t="s">
        <v>505</v>
      </c>
    </row>
    <row r="61" spans="1:5" ht="14.25" customHeight="1" x14ac:dyDescent="0.3">
      <c r="A61" s="40" t="s">
        <v>506</v>
      </c>
      <c r="B61" s="40" t="s">
        <v>403</v>
      </c>
      <c r="C61" s="40" t="s">
        <v>405</v>
      </c>
      <c r="D61" s="40" t="s">
        <v>507</v>
      </c>
      <c r="E61" s="40" t="s">
        <v>508</v>
      </c>
    </row>
    <row r="62" spans="1:5" ht="14.25" customHeight="1" x14ac:dyDescent="0.3">
      <c r="A62" s="38" t="s">
        <v>509</v>
      </c>
      <c r="B62" s="39">
        <f>14*$B$57</f>
        <v>42042</v>
      </c>
      <c r="C62" s="39">
        <f>16*$B$57</f>
        <v>48048</v>
      </c>
      <c r="D62" s="39">
        <f>18*$B$57</f>
        <v>54054</v>
      </c>
      <c r="E62" s="39">
        <f>20*$B$57</f>
        <v>60060</v>
      </c>
    </row>
    <row r="63" spans="1:5" ht="14.25" customHeight="1" x14ac:dyDescent="0.3">
      <c r="A63" s="38" t="s">
        <v>394</v>
      </c>
      <c r="B63" s="39">
        <f>$B$58</f>
        <v>364</v>
      </c>
      <c r="C63" s="39">
        <f>$B$58</f>
        <v>364</v>
      </c>
      <c r="D63" s="39">
        <f>$B$58</f>
        <v>364</v>
      </c>
      <c r="E63" s="39">
        <f>$B$58</f>
        <v>364</v>
      </c>
    </row>
    <row r="64" spans="1:5" ht="14.25" customHeight="1" x14ac:dyDescent="0.3">
      <c r="A64" s="38" t="s">
        <v>117</v>
      </c>
      <c r="B64" s="100">
        <f>B62+B63</f>
        <v>42406</v>
      </c>
      <c r="C64" s="100">
        <f>C62+C63</f>
        <v>48412</v>
      </c>
      <c r="D64" s="100">
        <f>D62+D63</f>
        <v>54418</v>
      </c>
      <c r="E64" s="100">
        <f>E62+E63</f>
        <v>60424</v>
      </c>
    </row>
    <row r="65" spans="1:5" ht="14.25" customHeight="1" x14ac:dyDescent="0.3">
      <c r="A65" s="38" t="s">
        <v>493</v>
      </c>
      <c r="B65" s="101">
        <f>B64/$B$59</f>
        <v>163.91959798994975</v>
      </c>
      <c r="C65" s="101">
        <f>C64/$B$59</f>
        <v>187.1356783919598</v>
      </c>
      <c r="D65" s="101">
        <f>D64/$B$59</f>
        <v>210.35175879396985</v>
      </c>
      <c r="E65" s="101">
        <f>E64/$B$59</f>
        <v>233.5678391959799</v>
      </c>
    </row>
    <row r="66" spans="1:5" ht="14.25" customHeight="1" x14ac:dyDescent="0.3">
      <c r="A66" s="38" t="s">
        <v>494</v>
      </c>
      <c r="B66" s="51">
        <v>210</v>
      </c>
      <c r="C66" s="51">
        <v>210</v>
      </c>
      <c r="D66" s="51">
        <v>210</v>
      </c>
      <c r="E66" s="51">
        <v>210</v>
      </c>
    </row>
    <row r="68" spans="1:5" ht="14.25" customHeight="1" x14ac:dyDescent="0.3">
      <c r="A68" s="1" t="s">
        <v>510</v>
      </c>
      <c r="B68" s="1"/>
      <c r="C68" s="1"/>
      <c r="D68" s="1"/>
      <c r="E68" s="1"/>
    </row>
    <row r="69" spans="1:5" ht="14.25" customHeight="1" x14ac:dyDescent="0.3">
      <c r="A69" s="38" t="s">
        <v>511</v>
      </c>
      <c r="B69" s="98">
        <f>B65</f>
        <v>163.91959798994975</v>
      </c>
    </row>
    <row r="70" spans="1:5" ht="14.25" customHeight="1" x14ac:dyDescent="0.3">
      <c r="A70" s="38" t="s">
        <v>512</v>
      </c>
      <c r="B70" s="98">
        <f>E65</f>
        <v>233.5678391959799</v>
      </c>
    </row>
    <row r="72" spans="1:5" ht="14.25" customHeight="1" x14ac:dyDescent="0.3">
      <c r="A72" s="3" t="s">
        <v>513</v>
      </c>
    </row>
    <row r="73" spans="1:5" ht="14.25" customHeight="1" x14ac:dyDescent="0.3">
      <c r="A73" s="3" t="s">
        <v>514</v>
      </c>
    </row>
    <row r="74" spans="1:5" ht="14.25" customHeight="1" x14ac:dyDescent="0.3">
      <c r="A74" s="3" t="s">
        <v>515</v>
      </c>
    </row>
  </sheetData>
  <mergeCells count="1">
    <mergeCell ref="A34:E3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AD47"/>
  </sheetPr>
  <dimension ref="A1:J55"/>
  <sheetViews>
    <sheetView topLeftCell="R40" zoomScaleNormal="100" workbookViewId="0">
      <selection activeCell="F38" sqref="F38"/>
    </sheetView>
  </sheetViews>
  <sheetFormatPr defaultColWidth="8.6640625" defaultRowHeight="14.4" x14ac:dyDescent="0.3"/>
  <cols>
    <col min="1" max="1" width="31.77734375" customWidth="1"/>
    <col min="2" max="3" width="22" customWidth="1"/>
    <col min="4" max="4" width="18.21875" customWidth="1"/>
    <col min="5" max="10" width="16" customWidth="1"/>
  </cols>
  <sheetData>
    <row r="1" spans="1:10" ht="15.75" customHeight="1" x14ac:dyDescent="0.3">
      <c r="A1" s="2" t="s">
        <v>516</v>
      </c>
    </row>
    <row r="2" spans="1:10" ht="15" customHeight="1" x14ac:dyDescent="0.3">
      <c r="A2" s="102" t="s">
        <v>517</v>
      </c>
    </row>
    <row r="3" spans="1:10" ht="14.25" customHeight="1" x14ac:dyDescent="0.3">
      <c r="A3" s="3" t="s">
        <v>518</v>
      </c>
    </row>
    <row r="4" spans="1:10" ht="23.25" customHeight="1" x14ac:dyDescent="0.3"/>
    <row r="5" spans="1:10" ht="15" customHeight="1" x14ac:dyDescent="0.3">
      <c r="A5" s="103" t="s">
        <v>519</v>
      </c>
      <c r="B5" s="103" t="s">
        <v>520</v>
      </c>
      <c r="C5" s="103" t="s">
        <v>521</v>
      </c>
      <c r="D5" s="103" t="s">
        <v>522</v>
      </c>
      <c r="E5" s="103" t="s">
        <v>523</v>
      </c>
      <c r="F5" s="103" t="s">
        <v>524</v>
      </c>
      <c r="G5" s="103" t="s">
        <v>525</v>
      </c>
      <c r="H5" s="103" t="s">
        <v>466</v>
      </c>
      <c r="I5" s="103" t="s">
        <v>526</v>
      </c>
      <c r="J5" s="103" t="s">
        <v>527</v>
      </c>
    </row>
    <row r="6" spans="1:10" ht="15" customHeight="1" x14ac:dyDescent="0.3">
      <c r="A6" s="9" t="s">
        <v>528</v>
      </c>
      <c r="B6" s="9" t="s">
        <v>529</v>
      </c>
      <c r="C6" s="32" t="s">
        <v>530</v>
      </c>
      <c r="D6" s="104">
        <v>55000</v>
      </c>
      <c r="E6" s="104">
        <v>7288</v>
      </c>
      <c r="F6" s="105">
        <v>1767</v>
      </c>
      <c r="G6" s="49">
        <f>IF(E6=0,"N/A",D6/E6)</f>
        <v>7.5466520307354559</v>
      </c>
      <c r="H6" s="49">
        <f>IF(F6=0,"N/A",D6/F6)</f>
        <v>31.126202603282401</v>
      </c>
      <c r="I6" s="106">
        <f>(210-168.32)/168.32</f>
        <v>0.24762357414448674</v>
      </c>
      <c r="J6" s="9" t="s">
        <v>531</v>
      </c>
    </row>
    <row r="7" spans="1:10" ht="15" customHeight="1" x14ac:dyDescent="0.3">
      <c r="A7" s="9" t="s">
        <v>532</v>
      </c>
      <c r="B7" s="73" t="s">
        <v>533</v>
      </c>
      <c r="C7" s="73" t="s">
        <v>534</v>
      </c>
      <c r="D7" s="107">
        <v>68700</v>
      </c>
      <c r="E7" s="107">
        <v>8916</v>
      </c>
      <c r="F7" s="105">
        <v>3608</v>
      </c>
      <c r="G7" s="108">
        <f>D7/E7</f>
        <v>7.7052489905787347</v>
      </c>
      <c r="H7" s="108">
        <f>D7/F7</f>
        <v>19.041019955654104</v>
      </c>
      <c r="I7" s="71">
        <v>0.45300000000000001</v>
      </c>
      <c r="J7" s="73" t="s">
        <v>535</v>
      </c>
    </row>
    <row r="8" spans="1:10" ht="15" customHeight="1" x14ac:dyDescent="0.3">
      <c r="A8" s="9" t="s">
        <v>536</v>
      </c>
      <c r="B8" s="9" t="s">
        <v>444</v>
      </c>
      <c r="C8" s="9" t="s">
        <v>537</v>
      </c>
      <c r="D8" s="104">
        <v>12700</v>
      </c>
      <c r="E8" s="104">
        <v>2599</v>
      </c>
      <c r="F8" s="105">
        <v>529</v>
      </c>
      <c r="G8" s="49">
        <f>D8/E8</f>
        <v>4.8864948056944977</v>
      </c>
      <c r="H8" s="49">
        <f>D8/F8</f>
        <v>24.007561436672969</v>
      </c>
      <c r="I8" s="71">
        <v>0.64</v>
      </c>
      <c r="J8" s="9" t="s">
        <v>535</v>
      </c>
    </row>
    <row r="9" spans="1:10" ht="15" customHeight="1" x14ac:dyDescent="0.3">
      <c r="A9" s="73" t="s">
        <v>538</v>
      </c>
      <c r="B9" s="73" t="s">
        <v>539</v>
      </c>
      <c r="C9" s="73" t="s">
        <v>540</v>
      </c>
      <c r="D9" s="107">
        <v>3600</v>
      </c>
      <c r="E9" s="105">
        <v>600</v>
      </c>
      <c r="F9" s="105">
        <v>150</v>
      </c>
      <c r="G9" s="108">
        <f>IF(E9=0,"N/A",D9/E9)</f>
        <v>6</v>
      </c>
      <c r="H9" s="108">
        <f>IF(F9=0,"N/A",D9/F9)</f>
        <v>24</v>
      </c>
      <c r="I9" s="73" t="s">
        <v>541</v>
      </c>
      <c r="J9" s="73" t="s">
        <v>535</v>
      </c>
    </row>
    <row r="10" spans="1:10" ht="15" customHeight="1" x14ac:dyDescent="0.3">
      <c r="A10" s="9" t="s">
        <v>542</v>
      </c>
      <c r="B10" s="9" t="s">
        <v>543</v>
      </c>
      <c r="C10" s="9" t="s">
        <v>544</v>
      </c>
      <c r="D10" s="104">
        <v>2100</v>
      </c>
      <c r="E10" s="104">
        <v>540</v>
      </c>
      <c r="F10" s="105">
        <v>76</v>
      </c>
      <c r="G10" s="49">
        <f>D10/E10</f>
        <v>3.8888888888888888</v>
      </c>
      <c r="H10" s="49">
        <f>D10/F10</f>
        <v>27.631578947368421</v>
      </c>
      <c r="I10" s="71">
        <v>0.36</v>
      </c>
      <c r="J10" s="9" t="s">
        <v>535</v>
      </c>
    </row>
    <row r="11" spans="1:10" ht="15" customHeight="1" x14ac:dyDescent="0.3">
      <c r="A11" s="73" t="s">
        <v>545</v>
      </c>
      <c r="B11" s="73" t="s">
        <v>543</v>
      </c>
      <c r="C11" s="73" t="s">
        <v>546</v>
      </c>
      <c r="D11" s="107">
        <v>1400</v>
      </c>
      <c r="E11" s="105">
        <v>185</v>
      </c>
      <c r="F11" s="105">
        <v>65</v>
      </c>
      <c r="G11" s="108">
        <f>IF(E11=0,"N/A",D11/E11)</f>
        <v>7.5675675675675675</v>
      </c>
      <c r="H11" s="108">
        <f>IF(F11=0,"N/A",D11/F11)</f>
        <v>21.53846153846154</v>
      </c>
      <c r="I11" s="73" t="s">
        <v>541</v>
      </c>
      <c r="J11" s="73" t="s">
        <v>535</v>
      </c>
    </row>
    <row r="12" spans="1:10" ht="15" customHeight="1" x14ac:dyDescent="0.3">
      <c r="A12" s="9" t="s">
        <v>547</v>
      </c>
      <c r="B12" s="9" t="s">
        <v>548</v>
      </c>
      <c r="C12" s="9" t="s">
        <v>549</v>
      </c>
      <c r="D12" s="104">
        <v>10200</v>
      </c>
      <c r="E12" s="104">
        <v>2326</v>
      </c>
      <c r="F12" s="105">
        <v>1053</v>
      </c>
      <c r="G12" s="49">
        <f>D12/E12</f>
        <v>4.3852106620808255</v>
      </c>
      <c r="H12" s="49">
        <f>D12/F12</f>
        <v>9.6866096866096871</v>
      </c>
      <c r="I12" s="9" t="s">
        <v>541</v>
      </c>
      <c r="J12" s="9" t="s">
        <v>535</v>
      </c>
    </row>
    <row r="13" spans="1:10" ht="15" customHeight="1" x14ac:dyDescent="0.3">
      <c r="A13" s="73" t="s">
        <v>550</v>
      </c>
      <c r="B13" s="73" t="s">
        <v>533</v>
      </c>
      <c r="C13" s="73" t="s">
        <v>551</v>
      </c>
      <c r="D13" s="107">
        <v>7500</v>
      </c>
      <c r="E13" s="105">
        <v>450</v>
      </c>
      <c r="F13" s="105">
        <v>150</v>
      </c>
      <c r="G13" s="108">
        <f>D13/E13</f>
        <v>16.666666666666668</v>
      </c>
      <c r="H13" s="108">
        <f>D13/F13</f>
        <v>50</v>
      </c>
      <c r="I13" s="73" t="s">
        <v>541</v>
      </c>
      <c r="J13" s="73" t="s">
        <v>535</v>
      </c>
    </row>
    <row r="14" spans="1:10" ht="14.25" customHeight="1" x14ac:dyDescent="0.3">
      <c r="A14" s="9" t="s">
        <v>552</v>
      </c>
      <c r="B14" s="9" t="s">
        <v>553</v>
      </c>
      <c r="C14" s="9" t="s">
        <v>554</v>
      </c>
      <c r="D14" s="104">
        <v>2794</v>
      </c>
      <c r="E14" s="104">
        <v>839</v>
      </c>
      <c r="F14" s="105">
        <v>168</v>
      </c>
      <c r="G14" s="49">
        <f>D14/E14</f>
        <v>3.3301549463647198</v>
      </c>
      <c r="H14" s="49">
        <f>D14/F14</f>
        <v>16.63095238095238</v>
      </c>
      <c r="I14" s="71">
        <v>0.66700000000000004</v>
      </c>
      <c r="J14" s="9" t="s">
        <v>555</v>
      </c>
    </row>
    <row r="15" spans="1:10" ht="15" customHeight="1" x14ac:dyDescent="0.3"/>
    <row r="16" spans="1:10" ht="15" customHeight="1" x14ac:dyDescent="0.3">
      <c r="A16" s="7" t="s">
        <v>556</v>
      </c>
      <c r="G16" s="109">
        <f>AVERAGE(G7:G14)</f>
        <v>6.8037790659802377</v>
      </c>
      <c r="H16" s="109">
        <f>AVERAGE(H7:H14)</f>
        <v>24.067022993214888</v>
      </c>
      <c r="I16" s="110">
        <f>IFERROR(AVERAGEIF(I7:I14,"&lt;&gt;N/A (private)"),"N/A")</f>
        <v>0.53</v>
      </c>
    </row>
    <row r="17" spans="1:9" ht="14.25" customHeight="1" x14ac:dyDescent="0.3">
      <c r="A17" s="7" t="s">
        <v>557</v>
      </c>
      <c r="G17" s="109">
        <f>MEDIAN(G7:G14)</f>
        <v>5.4432474028472484</v>
      </c>
      <c r="H17" s="109">
        <f>MEDIAN(H7:H14)</f>
        <v>22.76923076923077</v>
      </c>
      <c r="I17" s="110">
        <f>IFERROR(MEDIAN(I7:I14),"N/A")</f>
        <v>0.54649999999999999</v>
      </c>
    </row>
    <row r="18" spans="1:9" ht="15" customHeight="1" x14ac:dyDescent="0.3">
      <c r="A18" s="7" t="s">
        <v>558</v>
      </c>
      <c r="G18" s="109">
        <f>AVERAGE(G7:G12,G14)</f>
        <v>5.3947951230250339</v>
      </c>
      <c r="H18" s="109">
        <f>AVERAGE(H7:H12,H14)</f>
        <v>20.362311992245584</v>
      </c>
    </row>
    <row r="19" spans="1:9" ht="15" customHeight="1" x14ac:dyDescent="0.3">
      <c r="A19" s="7" t="s">
        <v>559</v>
      </c>
      <c r="G19" s="109">
        <f>MEDIAN(G7:G12,G14)</f>
        <v>4.8864948056944977</v>
      </c>
      <c r="H19" s="109">
        <f>MEDIAN(H7:H12,H14)</f>
        <v>21.53846153846154</v>
      </c>
    </row>
    <row r="20" spans="1:9" ht="15" customHeight="1" x14ac:dyDescent="0.3">
      <c r="A20" s="9"/>
      <c r="B20" s="15"/>
      <c r="C20" s="23"/>
    </row>
    <row r="21" spans="1:9" ht="15" customHeight="1" x14ac:dyDescent="0.3">
      <c r="A21" s="111" t="s">
        <v>560</v>
      </c>
      <c r="B21" s="15"/>
      <c r="C21" s="23"/>
    </row>
    <row r="22" spans="1:9" ht="14.25" customHeight="1" x14ac:dyDescent="0.3">
      <c r="A22" s="9" t="s">
        <v>561</v>
      </c>
      <c r="B22" s="105">
        <v>1767</v>
      </c>
      <c r="C22" s="3" t="s">
        <v>562</v>
      </c>
    </row>
    <row r="23" spans="1:9" ht="15" customHeight="1" x14ac:dyDescent="0.3">
      <c r="A23" s="38" t="s">
        <v>502</v>
      </c>
      <c r="B23" s="35">
        <v>364</v>
      </c>
      <c r="C23" s="3" t="s">
        <v>563</v>
      </c>
    </row>
    <row r="24" spans="1:9" ht="15" customHeight="1" x14ac:dyDescent="0.3">
      <c r="A24" s="53" t="s">
        <v>504</v>
      </c>
      <c r="B24" s="112">
        <v>258.7</v>
      </c>
      <c r="C24" s="113" t="s">
        <v>564</v>
      </c>
    </row>
    <row r="25" spans="1:9" ht="15" customHeight="1" x14ac:dyDescent="0.3">
      <c r="A25" s="9"/>
      <c r="B25" s="95"/>
      <c r="C25" s="95"/>
    </row>
    <row r="26" spans="1:9" ht="15" customHeight="1" x14ac:dyDescent="0.3">
      <c r="A26" s="32" t="s">
        <v>506</v>
      </c>
      <c r="B26" s="114" t="s">
        <v>565</v>
      </c>
      <c r="C26" s="114" t="s">
        <v>566</v>
      </c>
      <c r="D26" s="40" t="s">
        <v>567</v>
      </c>
      <c r="E26" s="40" t="s">
        <v>568</v>
      </c>
    </row>
    <row r="27" spans="1:9" ht="15" customHeight="1" x14ac:dyDescent="0.3">
      <c r="A27" s="9" t="s">
        <v>569</v>
      </c>
      <c r="B27" s="49">
        <f>H17</f>
        <v>22.76923076923077</v>
      </c>
      <c r="C27" s="49">
        <f>H19</f>
        <v>21.53846153846154</v>
      </c>
      <c r="D27" s="68">
        <f>H18</f>
        <v>20.362311992245584</v>
      </c>
      <c r="E27" s="68">
        <v>22</v>
      </c>
    </row>
    <row r="28" spans="1:9" ht="15" customHeight="1" x14ac:dyDescent="0.3">
      <c r="A28" s="9" t="s">
        <v>509</v>
      </c>
      <c r="B28" s="115">
        <f>B27*$B$22</f>
        <v>40233.230769230773</v>
      </c>
      <c r="C28" s="115">
        <f>C27*$B$22</f>
        <v>38058.461538461539</v>
      </c>
      <c r="D28" s="39">
        <f>D27*$B$22</f>
        <v>35980.205290297949</v>
      </c>
      <c r="E28" s="39">
        <f>E27*$B$22</f>
        <v>38874</v>
      </c>
    </row>
    <row r="29" spans="1:9" ht="14.25" customHeight="1" x14ac:dyDescent="0.3">
      <c r="A29" s="32" t="s">
        <v>394</v>
      </c>
      <c r="B29" s="116">
        <f>$B$23</f>
        <v>364</v>
      </c>
      <c r="C29" s="116">
        <f>$B$23</f>
        <v>364</v>
      </c>
      <c r="D29" s="39">
        <f>$B$23</f>
        <v>364</v>
      </c>
      <c r="E29" s="39">
        <f>$B$23</f>
        <v>364</v>
      </c>
    </row>
    <row r="30" spans="1:9" ht="15" customHeight="1" x14ac:dyDescent="0.3">
      <c r="A30" s="38" t="s">
        <v>117</v>
      </c>
      <c r="B30" s="100">
        <f>B28+B29</f>
        <v>40597.230769230773</v>
      </c>
      <c r="C30" s="100">
        <f>C28+C29</f>
        <v>38422.461538461539</v>
      </c>
      <c r="D30" s="100">
        <f>D28+D29</f>
        <v>36344.205290297949</v>
      </c>
      <c r="E30" s="100">
        <f>E28+E29</f>
        <v>39238</v>
      </c>
    </row>
    <row r="31" spans="1:9" ht="14.25" customHeight="1" x14ac:dyDescent="0.3">
      <c r="A31" s="32" t="s">
        <v>493</v>
      </c>
      <c r="B31" s="117">
        <f>B30/$B$24</f>
        <v>156.92783443846454</v>
      </c>
      <c r="C31" s="117">
        <f>C30/$B$24</f>
        <v>148.52130474859504</v>
      </c>
      <c r="D31" s="101">
        <f>D30/$B$24</f>
        <v>140.48784418360245</v>
      </c>
      <c r="E31" s="101">
        <f>E30/$B$24</f>
        <v>151.6737533822961</v>
      </c>
    </row>
    <row r="32" spans="1:9" ht="15" customHeight="1" x14ac:dyDescent="0.3">
      <c r="A32" s="38" t="s">
        <v>494</v>
      </c>
      <c r="B32" s="51">
        <v>210</v>
      </c>
      <c r="C32" s="51">
        <v>210</v>
      </c>
      <c r="D32" s="51">
        <v>210</v>
      </c>
      <c r="E32" s="51">
        <v>210</v>
      </c>
    </row>
    <row r="33" spans="1:5" ht="15" customHeight="1" x14ac:dyDescent="0.3">
      <c r="A33" s="23"/>
    </row>
    <row r="34" spans="1:5" ht="14.25" customHeight="1" x14ac:dyDescent="0.3">
      <c r="A34" s="1" t="s">
        <v>570</v>
      </c>
    </row>
    <row r="35" spans="1:5" ht="14.25" customHeight="1" x14ac:dyDescent="0.3">
      <c r="A35" s="38" t="s">
        <v>571</v>
      </c>
      <c r="B35" s="35">
        <v>3003</v>
      </c>
      <c r="C35" s="37" t="s">
        <v>501</v>
      </c>
    </row>
    <row r="37" spans="1:5" ht="14.25" customHeight="1" x14ac:dyDescent="0.3">
      <c r="A37" s="40" t="s">
        <v>506</v>
      </c>
      <c r="B37" s="40" t="s">
        <v>572</v>
      </c>
      <c r="C37" s="40" t="s">
        <v>573</v>
      </c>
      <c r="D37" s="40" t="s">
        <v>574</v>
      </c>
      <c r="E37" s="40" t="s">
        <v>575</v>
      </c>
    </row>
    <row r="38" spans="1:5" ht="14.25" customHeight="1" x14ac:dyDescent="0.3">
      <c r="A38" s="38" t="s">
        <v>393</v>
      </c>
      <c r="B38" s="39">
        <f>16*$B$35</f>
        <v>48048</v>
      </c>
      <c r="C38" s="39">
        <f>18*$B$35</f>
        <v>54054</v>
      </c>
      <c r="D38" s="39">
        <f>20*$B$35</f>
        <v>60060</v>
      </c>
      <c r="E38" s="39">
        <f>22*$B$35</f>
        <v>66066</v>
      </c>
    </row>
    <row r="39" spans="1:5" ht="14.25" customHeight="1" x14ac:dyDescent="0.3">
      <c r="A39" s="38" t="s">
        <v>394</v>
      </c>
      <c r="B39" s="39">
        <f>$B$23</f>
        <v>364</v>
      </c>
      <c r="C39" s="39">
        <f>$B$23</f>
        <v>364</v>
      </c>
      <c r="D39" s="39">
        <f>$B$23</f>
        <v>364</v>
      </c>
      <c r="E39" s="39">
        <f>$B$23</f>
        <v>364</v>
      </c>
    </row>
    <row r="40" spans="1:5" ht="14.25" customHeight="1" x14ac:dyDescent="0.3">
      <c r="A40" s="38" t="s">
        <v>117</v>
      </c>
      <c r="B40" s="100">
        <f>B38+B39</f>
        <v>48412</v>
      </c>
      <c r="C40" s="100">
        <f>C38+C39</f>
        <v>54418</v>
      </c>
      <c r="D40" s="100">
        <f>D38+D39</f>
        <v>60424</v>
      </c>
      <c r="E40" s="100">
        <f>E38+E39</f>
        <v>66430</v>
      </c>
    </row>
    <row r="41" spans="1:5" ht="14.25" customHeight="1" x14ac:dyDescent="0.3">
      <c r="A41" s="38" t="s">
        <v>493</v>
      </c>
      <c r="B41" s="101">
        <f>B40/$B$24</f>
        <v>187.1356783919598</v>
      </c>
      <c r="C41" s="101">
        <f>C40/$B$24</f>
        <v>210.35175879396985</v>
      </c>
      <c r="D41" s="101">
        <f>D40/$B$24</f>
        <v>233.5678391959799</v>
      </c>
      <c r="E41" s="101">
        <f>E40/$B$24</f>
        <v>256.78391959798995</v>
      </c>
    </row>
    <row r="43" spans="1:5" ht="14.25" customHeight="1" x14ac:dyDescent="0.3">
      <c r="A43" s="1" t="s">
        <v>576</v>
      </c>
    </row>
    <row r="44" spans="1:5" ht="14.25" customHeight="1" x14ac:dyDescent="0.3">
      <c r="A44" s="38" t="s">
        <v>577</v>
      </c>
      <c r="B44" s="98">
        <f>B41</f>
        <v>187.1356783919598</v>
      </c>
    </row>
    <row r="45" spans="1:5" ht="14.25" customHeight="1" x14ac:dyDescent="0.3">
      <c r="A45" s="38" t="s">
        <v>512</v>
      </c>
      <c r="B45" s="98">
        <f>D41</f>
        <v>233.5678391959799</v>
      </c>
    </row>
    <row r="47" spans="1:5" ht="14.25" customHeight="1" x14ac:dyDescent="0.3">
      <c r="A47" s="3" t="s">
        <v>578</v>
      </c>
    </row>
    <row r="48" spans="1:5" ht="14.25" customHeight="1" x14ac:dyDescent="0.3">
      <c r="A48" s="3" t="s">
        <v>579</v>
      </c>
    </row>
    <row r="49" spans="1:1" ht="14.25" customHeight="1" x14ac:dyDescent="0.3">
      <c r="A49" s="22"/>
    </row>
    <row r="50" spans="1:1" ht="14.25" customHeight="1" x14ac:dyDescent="0.3">
      <c r="A50" s="22"/>
    </row>
    <row r="51" spans="1:1" ht="14.25" customHeight="1" x14ac:dyDescent="0.3">
      <c r="A51" s="22"/>
    </row>
    <row r="52" spans="1:1" ht="14.25" customHeight="1" x14ac:dyDescent="0.3">
      <c r="A52" s="22"/>
    </row>
    <row r="54" spans="1:1" ht="14.25" customHeight="1" x14ac:dyDescent="0.3">
      <c r="A54" s="3"/>
    </row>
    <row r="55" spans="1:1" ht="14.25" customHeight="1" x14ac:dyDescent="0.3">
      <c r="A55" s="3"/>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sheetPr>
  <dimension ref="A1:E48"/>
  <sheetViews>
    <sheetView zoomScaleNormal="100" workbookViewId="0">
      <selection activeCell="H22" sqref="H22"/>
    </sheetView>
  </sheetViews>
  <sheetFormatPr defaultColWidth="8.6640625" defaultRowHeight="14.4" x14ac:dyDescent="0.3"/>
  <cols>
    <col min="1" max="1" width="36.109375" customWidth="1"/>
    <col min="2" max="4" width="22" customWidth="1"/>
    <col min="5" max="5" width="45" customWidth="1"/>
  </cols>
  <sheetData>
    <row r="1" spans="1:5" ht="15.75" customHeight="1" x14ac:dyDescent="0.3">
      <c r="A1" s="2" t="s">
        <v>580</v>
      </c>
    </row>
    <row r="2" spans="1:5" ht="15" customHeight="1" x14ac:dyDescent="0.3">
      <c r="A2" s="23" t="s">
        <v>581</v>
      </c>
    </row>
    <row r="4" spans="1:5" ht="15" customHeight="1" x14ac:dyDescent="0.3">
      <c r="A4" s="7" t="s">
        <v>582</v>
      </c>
      <c r="B4" s="8"/>
      <c r="C4" s="8"/>
      <c r="D4" s="2"/>
      <c r="E4" s="2"/>
    </row>
    <row r="5" spans="1:5" ht="15" customHeight="1" x14ac:dyDescent="0.3">
      <c r="A5" s="23" t="s">
        <v>583</v>
      </c>
      <c r="D5" s="2"/>
      <c r="E5" s="2"/>
    </row>
    <row r="6" spans="1:5" ht="15" customHeight="1" x14ac:dyDescent="0.3">
      <c r="A6" s="23" t="s">
        <v>584</v>
      </c>
    </row>
    <row r="8" spans="1:5" ht="15" customHeight="1" x14ac:dyDescent="0.3">
      <c r="A8" s="24" t="s">
        <v>585</v>
      </c>
      <c r="B8" s="24" t="s">
        <v>586</v>
      </c>
      <c r="C8" s="24" t="s">
        <v>587</v>
      </c>
    </row>
    <row r="9" spans="1:5" ht="15" customHeight="1" x14ac:dyDescent="0.3">
      <c r="A9" s="118">
        <v>2015</v>
      </c>
      <c r="B9" s="26">
        <v>11</v>
      </c>
      <c r="C9" s="70">
        <v>0.4</v>
      </c>
    </row>
    <row r="10" spans="1:5" ht="15" customHeight="1" x14ac:dyDescent="0.3">
      <c r="A10" s="119">
        <v>2016</v>
      </c>
      <c r="B10" s="77">
        <v>17</v>
      </c>
      <c r="C10" s="75">
        <v>0.35</v>
      </c>
    </row>
    <row r="11" spans="1:5" ht="15" customHeight="1" x14ac:dyDescent="0.3">
      <c r="A11" s="118">
        <v>2017</v>
      </c>
      <c r="B11" s="26">
        <v>12</v>
      </c>
      <c r="C11" s="70">
        <v>0.24</v>
      </c>
      <c r="E11" s="2"/>
    </row>
    <row r="12" spans="1:5" ht="15" customHeight="1" x14ac:dyDescent="0.3">
      <c r="A12" s="119">
        <v>2018</v>
      </c>
      <c r="B12" s="77">
        <v>20</v>
      </c>
      <c r="C12" s="75">
        <v>0.3</v>
      </c>
    </row>
    <row r="13" spans="1:5" ht="15" customHeight="1" x14ac:dyDescent="0.3">
      <c r="A13" s="118">
        <v>2019</v>
      </c>
      <c r="B13" s="26">
        <v>14</v>
      </c>
      <c r="C13" s="70">
        <v>0.42</v>
      </c>
    </row>
    <row r="14" spans="1:5" ht="15" customHeight="1" x14ac:dyDescent="0.3">
      <c r="A14" s="119">
        <v>2020</v>
      </c>
      <c r="B14" s="77">
        <v>10</v>
      </c>
      <c r="C14" s="75">
        <v>0.56000000000000005</v>
      </c>
    </row>
    <row r="15" spans="1:5" ht="15" customHeight="1" x14ac:dyDescent="0.3">
      <c r="A15" s="118">
        <v>2021</v>
      </c>
      <c r="B15" s="26">
        <v>22</v>
      </c>
      <c r="C15" s="70">
        <v>0.23</v>
      </c>
    </row>
    <row r="16" spans="1:5" ht="15" customHeight="1" x14ac:dyDescent="0.3">
      <c r="A16" s="119">
        <v>2022</v>
      </c>
      <c r="B16" s="77">
        <v>24</v>
      </c>
      <c r="C16" s="75">
        <v>0.28999999999999998</v>
      </c>
    </row>
    <row r="17" spans="1:4" ht="15" customHeight="1" x14ac:dyDescent="0.3">
      <c r="A17" s="118">
        <v>2023</v>
      </c>
      <c r="B17" s="26">
        <v>16</v>
      </c>
      <c r="C17" s="70">
        <v>0.56000000000000005</v>
      </c>
    </row>
    <row r="18" spans="1:4" ht="15" customHeight="1" x14ac:dyDescent="0.3">
      <c r="A18" s="119">
        <v>2024</v>
      </c>
      <c r="B18" s="77">
        <v>19</v>
      </c>
      <c r="C18" s="75">
        <v>0.28999999999999998</v>
      </c>
    </row>
    <row r="19" spans="1:4" ht="15" customHeight="1" x14ac:dyDescent="0.3">
      <c r="A19" s="7" t="s">
        <v>588</v>
      </c>
    </row>
    <row r="20" spans="1:4" ht="15" customHeight="1" x14ac:dyDescent="0.3">
      <c r="A20" s="9" t="s">
        <v>589</v>
      </c>
      <c r="B20" s="70">
        <v>0.2</v>
      </c>
      <c r="C20" s="23" t="s">
        <v>590</v>
      </c>
    </row>
    <row r="21" spans="1:4" ht="15" customHeight="1" x14ac:dyDescent="0.3">
      <c r="A21" s="9" t="s">
        <v>587</v>
      </c>
      <c r="B21" s="70">
        <v>0.32</v>
      </c>
      <c r="C21" s="23" t="s">
        <v>590</v>
      </c>
    </row>
    <row r="22" spans="1:4" ht="15" customHeight="1" x14ac:dyDescent="0.3">
      <c r="A22" s="9" t="s">
        <v>591</v>
      </c>
      <c r="B22" s="70">
        <v>0.51</v>
      </c>
      <c r="C22" s="23" t="s">
        <v>590</v>
      </c>
    </row>
    <row r="24" spans="1:4" ht="15" customHeight="1" x14ac:dyDescent="0.3">
      <c r="A24" s="7" t="s">
        <v>592</v>
      </c>
      <c r="B24" s="8"/>
      <c r="C24" s="8"/>
    </row>
    <row r="25" spans="1:4" ht="15" customHeight="1" x14ac:dyDescent="0.3">
      <c r="A25" s="9" t="s">
        <v>593</v>
      </c>
      <c r="B25" s="25">
        <v>168.32</v>
      </c>
      <c r="C25" s="23" t="s">
        <v>594</v>
      </c>
    </row>
    <row r="27" spans="1:4" ht="15" customHeight="1" x14ac:dyDescent="0.3">
      <c r="A27" s="24"/>
      <c r="B27" s="24" t="s">
        <v>595</v>
      </c>
      <c r="C27" s="24" t="s">
        <v>596</v>
      </c>
      <c r="D27" s="24" t="s">
        <v>597</v>
      </c>
    </row>
    <row r="28" spans="1:4" ht="15" customHeight="1" x14ac:dyDescent="0.3">
      <c r="A28" s="9" t="s">
        <v>598</v>
      </c>
      <c r="B28" s="70">
        <v>0.2</v>
      </c>
      <c r="C28" s="70">
        <v>0.32</v>
      </c>
      <c r="D28" s="70">
        <v>0.51</v>
      </c>
    </row>
    <row r="29" spans="1:4" ht="15" customHeight="1" x14ac:dyDescent="0.3">
      <c r="A29" s="27" t="s">
        <v>493</v>
      </c>
      <c r="B29" s="120">
        <f>B25*(1+B28)</f>
        <v>201.98399999999998</v>
      </c>
      <c r="C29" s="120">
        <f>B25*(1+C28)</f>
        <v>222.1824</v>
      </c>
      <c r="D29" s="120">
        <f>B25*(1+D28)</f>
        <v>254.16319999999999</v>
      </c>
    </row>
    <row r="30" spans="1:4" ht="15" customHeight="1" x14ac:dyDescent="0.3">
      <c r="A30" s="121" t="s">
        <v>374</v>
      </c>
      <c r="B30" s="122">
        <v>203</v>
      </c>
      <c r="C30" s="268" t="s">
        <v>599</v>
      </c>
      <c r="D30" s="122">
        <v>255</v>
      </c>
    </row>
    <row r="31" spans="1:4" ht="15" customHeight="1" x14ac:dyDescent="0.3">
      <c r="A31" s="32" t="s">
        <v>494</v>
      </c>
      <c r="B31" s="123">
        <v>210</v>
      </c>
      <c r="C31" s="123">
        <v>210</v>
      </c>
      <c r="D31" s="123">
        <v>210</v>
      </c>
    </row>
    <row r="34" spans="1:4" ht="15" customHeight="1" x14ac:dyDescent="0.3">
      <c r="A34" s="7" t="s">
        <v>600</v>
      </c>
      <c r="B34" s="8"/>
      <c r="C34" s="8"/>
      <c r="D34" s="8"/>
    </row>
    <row r="35" spans="1:4" ht="15" customHeight="1" x14ac:dyDescent="0.3">
      <c r="A35" s="23" t="s">
        <v>601</v>
      </c>
    </row>
    <row r="36" spans="1:4" ht="15" customHeight="1" x14ac:dyDescent="0.3">
      <c r="A36" s="23" t="s">
        <v>584</v>
      </c>
    </row>
    <row r="38" spans="1:4" ht="15" customHeight="1" x14ac:dyDescent="0.3">
      <c r="A38" s="9" t="s">
        <v>589</v>
      </c>
      <c r="B38" s="70">
        <v>-0.09</v>
      </c>
      <c r="C38" s="23" t="s">
        <v>590</v>
      </c>
    </row>
    <row r="39" spans="1:4" ht="15" customHeight="1" x14ac:dyDescent="0.3">
      <c r="A39" s="9" t="s">
        <v>587</v>
      </c>
      <c r="B39" s="70">
        <v>0.06</v>
      </c>
      <c r="C39" s="23" t="s">
        <v>590</v>
      </c>
    </row>
    <row r="40" spans="1:4" ht="15" customHeight="1" x14ac:dyDescent="0.3">
      <c r="A40" s="9" t="s">
        <v>591</v>
      </c>
      <c r="B40" s="70">
        <v>0.22</v>
      </c>
      <c r="C40" s="23" t="s">
        <v>590</v>
      </c>
    </row>
    <row r="42" spans="1:4" ht="15" customHeight="1" x14ac:dyDescent="0.3">
      <c r="A42" s="9" t="s">
        <v>602</v>
      </c>
      <c r="B42" s="25">
        <v>179.01</v>
      </c>
      <c r="C42" s="23" t="s">
        <v>594</v>
      </c>
    </row>
    <row r="44" spans="1:4" ht="15" customHeight="1" x14ac:dyDescent="0.3">
      <c r="A44" s="24"/>
      <c r="B44" s="24" t="s">
        <v>603</v>
      </c>
      <c r="C44" s="24" t="s">
        <v>604</v>
      </c>
      <c r="D44" s="24" t="s">
        <v>605</v>
      </c>
    </row>
    <row r="45" spans="1:4" ht="15" customHeight="1" x14ac:dyDescent="0.3">
      <c r="A45" s="9" t="s">
        <v>598</v>
      </c>
      <c r="B45" s="70">
        <v>-0.09</v>
      </c>
      <c r="C45" s="70">
        <v>0.06</v>
      </c>
      <c r="D45" s="70">
        <v>0.22</v>
      </c>
    </row>
    <row r="46" spans="1:4" ht="15" customHeight="1" x14ac:dyDescent="0.3">
      <c r="A46" s="27" t="s">
        <v>493</v>
      </c>
      <c r="B46" s="120">
        <f>B42*(1+B45)</f>
        <v>162.8991</v>
      </c>
      <c r="C46" s="120">
        <f>B42*(1+C45)</f>
        <v>189.75059999999999</v>
      </c>
      <c r="D46" s="120">
        <f>B42*(1+D45)</f>
        <v>218.39219999999997</v>
      </c>
    </row>
    <row r="47" spans="1:4" ht="15" customHeight="1" x14ac:dyDescent="0.3">
      <c r="A47" s="121" t="s">
        <v>374</v>
      </c>
      <c r="B47" s="122">
        <v>163</v>
      </c>
      <c r="C47" s="268" t="s">
        <v>599</v>
      </c>
      <c r="D47" s="122">
        <v>218</v>
      </c>
    </row>
    <row r="48" spans="1:4" ht="15" customHeight="1" x14ac:dyDescent="0.3">
      <c r="A48" s="32" t="s">
        <v>494</v>
      </c>
      <c r="B48" s="123">
        <v>210</v>
      </c>
      <c r="C48" s="123">
        <v>210</v>
      </c>
      <c r="D48" s="123">
        <v>210</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AD47"/>
  </sheetPr>
  <dimension ref="A1:G138"/>
  <sheetViews>
    <sheetView zoomScale="81" zoomScaleNormal="100" workbookViewId="0">
      <selection activeCell="E99" sqref="E99"/>
    </sheetView>
  </sheetViews>
  <sheetFormatPr defaultColWidth="8.6640625" defaultRowHeight="14.4" x14ac:dyDescent="0.3"/>
  <cols>
    <col min="1" max="1" width="42" customWidth="1"/>
    <col min="2" max="2" width="36" customWidth="1"/>
    <col min="3" max="3" width="18" customWidth="1"/>
    <col min="4" max="4" width="13.33203125" customWidth="1"/>
    <col min="5" max="5" width="47.6640625" customWidth="1"/>
    <col min="6" max="7" width="18" customWidth="1"/>
  </cols>
  <sheetData>
    <row r="1" spans="1:7" ht="15.75" customHeight="1" x14ac:dyDescent="0.3">
      <c r="A1" s="2" t="s">
        <v>606</v>
      </c>
    </row>
    <row r="2" spans="1:7" ht="15" customHeight="1" x14ac:dyDescent="0.3">
      <c r="A2" s="23" t="s">
        <v>607</v>
      </c>
    </row>
    <row r="4" spans="1:7" ht="15" customHeight="1" x14ac:dyDescent="0.3">
      <c r="A4" s="7" t="s">
        <v>608</v>
      </c>
      <c r="B4" s="8"/>
      <c r="C4" s="8"/>
      <c r="D4" s="8"/>
      <c r="E4" s="8"/>
      <c r="F4" s="8"/>
      <c r="G4" s="8"/>
    </row>
    <row r="5" spans="1:7" ht="15" customHeight="1" x14ac:dyDescent="0.3">
      <c r="A5" s="124" t="s">
        <v>609</v>
      </c>
      <c r="B5" s="124" t="s">
        <v>111</v>
      </c>
      <c r="C5" s="124" t="s">
        <v>610</v>
      </c>
      <c r="D5" s="124"/>
      <c r="E5" s="124" t="s">
        <v>611</v>
      </c>
      <c r="F5" s="124" t="s">
        <v>111</v>
      </c>
      <c r="G5" s="124" t="s">
        <v>610</v>
      </c>
    </row>
    <row r="6" spans="1:7" ht="15" customHeight="1" x14ac:dyDescent="0.3">
      <c r="A6" s="9" t="s">
        <v>612</v>
      </c>
      <c r="B6" s="104">
        <f>0.099*250.106129*210</f>
        <v>5199.7064219100002</v>
      </c>
      <c r="C6" s="44">
        <f>IF($B$12=0,"",B6/$B$12)</f>
        <v>9.4009040171113459E-2</v>
      </c>
      <c r="D6" s="38" t="s">
        <v>613</v>
      </c>
      <c r="E6" s="42" t="s">
        <v>614</v>
      </c>
      <c r="F6" s="115">
        <f>250.106129*210</f>
        <v>52522.287090000005</v>
      </c>
      <c r="G6" s="44">
        <f>IF($F$12=0,"",F6/$F$12)</f>
        <v>0.94955912787586738</v>
      </c>
    </row>
    <row r="7" spans="1:7" ht="15" customHeight="1" x14ac:dyDescent="0.3">
      <c r="A7" s="9" t="s">
        <v>615</v>
      </c>
      <c r="B7" s="105">
        <v>31201</v>
      </c>
      <c r="C7" s="44">
        <f>IF($B$12=0,"",B7/$B$12)</f>
        <v>0.56410416750057057</v>
      </c>
      <c r="D7" s="38" t="s">
        <v>616</v>
      </c>
      <c r="E7" s="42" t="s">
        <v>617</v>
      </c>
      <c r="F7" s="105">
        <v>300</v>
      </c>
      <c r="G7" s="44">
        <f>IF($F$12=0,"",F7/$F$12)</f>
        <v>5.4237496907669448E-3</v>
      </c>
    </row>
    <row r="8" spans="1:7" ht="15" customHeight="1" x14ac:dyDescent="0.3">
      <c r="A8" s="32" t="s">
        <v>618</v>
      </c>
      <c r="B8" s="125">
        <f>B6+B7</f>
        <v>36400.706421909999</v>
      </c>
      <c r="C8" s="44">
        <f>IF($B$12=0,"",B8/$B$12)</f>
        <v>0.65811320767168402</v>
      </c>
      <c r="D8" s="38" t="s">
        <v>619</v>
      </c>
      <c r="E8" s="42" t="s">
        <v>620</v>
      </c>
      <c r="F8" s="104">
        <v>1500</v>
      </c>
      <c r="G8" s="44">
        <f>IF($F$12=0,"",F8/$F$12)</f>
        <v>2.7118748453834725E-2</v>
      </c>
    </row>
    <row r="9" spans="1:7" ht="15" customHeight="1" x14ac:dyDescent="0.3">
      <c r="A9" s="9" t="s">
        <v>621</v>
      </c>
      <c r="B9" s="104">
        <v>18010</v>
      </c>
      <c r="C9" s="44">
        <f>IF($B$12=0,"",B9/$B$12)</f>
        <v>0.32561507825663522</v>
      </c>
      <c r="D9" s="38" t="s">
        <v>622</v>
      </c>
      <c r="E9" s="42" t="s">
        <v>623</v>
      </c>
      <c r="F9" s="126">
        <v>75</v>
      </c>
      <c r="G9" s="127"/>
    </row>
    <row r="10" spans="1:7" ht="15" customHeight="1" x14ac:dyDescent="0.3">
      <c r="A10" s="9" t="s">
        <v>624</v>
      </c>
      <c r="B10" s="105">
        <v>900</v>
      </c>
      <c r="C10" s="44">
        <f>IF($B$12=0,"",B10/$B$12)</f>
        <v>1.6271714071680828E-2</v>
      </c>
      <c r="D10" s="38" t="s">
        <v>625</v>
      </c>
      <c r="E10" s="42" t="s">
        <v>626</v>
      </c>
      <c r="F10" s="126">
        <v>500</v>
      </c>
      <c r="G10" s="44">
        <f>IF($F$12=0,"",F10/$F$12)</f>
        <v>9.0395828179449071E-3</v>
      </c>
    </row>
    <row r="11" spans="1:7" ht="15" customHeight="1" x14ac:dyDescent="0.3">
      <c r="A11" s="9"/>
      <c r="B11" s="15"/>
      <c r="C11" s="44"/>
      <c r="E11" s="42" t="s">
        <v>627</v>
      </c>
      <c r="F11" s="126">
        <v>415</v>
      </c>
      <c r="G11" s="44">
        <f>IF($F$12=0,"",F11/$F$12)</f>
        <v>7.5028537388942733E-3</v>
      </c>
    </row>
    <row r="12" spans="1:7" ht="15" customHeight="1" x14ac:dyDescent="0.3">
      <c r="A12" s="32" t="s">
        <v>628</v>
      </c>
      <c r="B12" s="128">
        <f>B6+B7+B9+B10</f>
        <v>55310.706421909999</v>
      </c>
      <c r="C12" s="129">
        <f>B12/B12</f>
        <v>1</v>
      </c>
      <c r="E12" s="32" t="s">
        <v>629</v>
      </c>
      <c r="F12" s="128">
        <f>SUM(F6:F11)</f>
        <v>55312.287090000005</v>
      </c>
    </row>
    <row r="13" spans="1:7" ht="14.25" customHeight="1" x14ac:dyDescent="0.3">
      <c r="A13" s="60" t="s">
        <v>630</v>
      </c>
      <c r="B13" s="100">
        <f>B12-F12</f>
        <v>-1.5806680900059291</v>
      </c>
    </row>
    <row r="14" spans="1:7" ht="14.25" customHeight="1" x14ac:dyDescent="0.3">
      <c r="A14" s="3" t="s">
        <v>631</v>
      </c>
    </row>
    <row r="15" spans="1:7" ht="15" customHeight="1" x14ac:dyDescent="0.3">
      <c r="A15" s="111" t="s">
        <v>632</v>
      </c>
      <c r="B15" s="8"/>
      <c r="C15" s="8"/>
      <c r="D15" s="8"/>
      <c r="E15" s="8"/>
      <c r="F15" s="8"/>
      <c r="G15" s="8"/>
    </row>
    <row r="16" spans="1:7" ht="15" customHeight="1" x14ac:dyDescent="0.3">
      <c r="A16" s="53"/>
      <c r="B16" s="53" t="s">
        <v>297</v>
      </c>
      <c r="C16" s="53" t="s">
        <v>298</v>
      </c>
      <c r="D16" s="53" t="s">
        <v>299</v>
      </c>
      <c r="E16" s="53" t="s">
        <v>300</v>
      </c>
      <c r="F16" s="53" t="s">
        <v>301</v>
      </c>
      <c r="G16" s="53" t="s">
        <v>302</v>
      </c>
    </row>
    <row r="17" spans="1:7" ht="15" customHeight="1" x14ac:dyDescent="0.3">
      <c r="A17" s="9" t="s">
        <v>633</v>
      </c>
      <c r="B17" s="15">
        <v>2759</v>
      </c>
      <c r="C17" s="15">
        <v>3003</v>
      </c>
      <c r="D17" s="15">
        <v>4200</v>
      </c>
      <c r="E17" s="15">
        <v>4060</v>
      </c>
      <c r="F17" s="15">
        <v>4328</v>
      </c>
      <c r="G17" s="15">
        <v>4500</v>
      </c>
    </row>
    <row r="18" spans="1:7" ht="15" customHeight="1" x14ac:dyDescent="0.3">
      <c r="A18" s="9" t="s">
        <v>307</v>
      </c>
      <c r="B18" s="15">
        <v>-355</v>
      </c>
      <c r="C18" s="15">
        <v>-387</v>
      </c>
      <c r="D18" s="15">
        <v>-612</v>
      </c>
      <c r="E18" s="15">
        <v>-601</v>
      </c>
      <c r="F18" s="15">
        <v>-651</v>
      </c>
      <c r="G18" s="15">
        <v>-682</v>
      </c>
    </row>
    <row r="19" spans="1:7" ht="15" customHeight="1" x14ac:dyDescent="0.3">
      <c r="A19" s="9" t="s">
        <v>634</v>
      </c>
      <c r="B19" s="15">
        <v>209</v>
      </c>
      <c r="C19" s="15">
        <v>288</v>
      </c>
      <c r="D19" s="15">
        <v>300</v>
      </c>
      <c r="E19" s="15">
        <v>215</v>
      </c>
      <c r="F19" s="15">
        <v>220</v>
      </c>
      <c r="G19" s="15">
        <v>230</v>
      </c>
    </row>
    <row r="20" spans="1:7" ht="15" customHeight="1" x14ac:dyDescent="0.3">
      <c r="A20" s="9" t="s">
        <v>635</v>
      </c>
      <c r="B20" s="46">
        <f t="shared" ref="B20:G20" si="0">B23-B17-B18-B19-B21-B22</f>
        <v>-459</v>
      </c>
      <c r="C20" s="46">
        <f t="shared" si="0"/>
        <v>-513</v>
      </c>
      <c r="D20" s="46">
        <f t="shared" si="0"/>
        <v>-525</v>
      </c>
      <c r="E20" s="46">
        <f t="shared" si="0"/>
        <v>-441</v>
      </c>
      <c r="F20" s="46">
        <f t="shared" si="0"/>
        <v>-445</v>
      </c>
      <c r="G20" s="46">
        <f t="shared" si="0"/>
        <v>-455</v>
      </c>
    </row>
    <row r="21" spans="1:7" ht="15" customHeight="1" x14ac:dyDescent="0.3">
      <c r="A21" s="9" t="s">
        <v>636</v>
      </c>
      <c r="B21" s="15">
        <v>29</v>
      </c>
      <c r="C21" s="15">
        <v>-33</v>
      </c>
      <c r="D21" s="15">
        <v>-142</v>
      </c>
      <c r="E21" s="15">
        <v>-33</v>
      </c>
      <c r="F21" s="15">
        <v>-35</v>
      </c>
      <c r="G21" s="15">
        <v>-35</v>
      </c>
    </row>
    <row r="22" spans="1:7" ht="15" customHeight="1" x14ac:dyDescent="0.3">
      <c r="A22" s="9" t="s">
        <v>637</v>
      </c>
      <c r="B22" s="15">
        <v>-680</v>
      </c>
      <c r="C22" s="15">
        <v>-680</v>
      </c>
      <c r="D22" s="15">
        <v>-680</v>
      </c>
      <c r="E22" s="15">
        <v>-680</v>
      </c>
      <c r="F22" s="15">
        <v>-680</v>
      </c>
      <c r="G22" s="15">
        <v>-680</v>
      </c>
    </row>
    <row r="23" spans="1:7" ht="15" customHeight="1" x14ac:dyDescent="0.3">
      <c r="A23" s="32" t="s">
        <v>312</v>
      </c>
      <c r="B23" s="54">
        <v>1503</v>
      </c>
      <c r="C23" s="54">
        <v>1678</v>
      </c>
      <c r="D23" s="54">
        <v>2541</v>
      </c>
      <c r="E23" s="54">
        <v>2520</v>
      </c>
      <c r="F23" s="54">
        <v>2737</v>
      </c>
      <c r="G23" s="54">
        <v>2878</v>
      </c>
    </row>
    <row r="25" spans="1:7" ht="15" customHeight="1" x14ac:dyDescent="0.3">
      <c r="A25" s="7" t="s">
        <v>638</v>
      </c>
      <c r="B25" s="8"/>
      <c r="C25" s="8"/>
      <c r="D25" s="8"/>
      <c r="E25" s="8"/>
      <c r="F25" s="8"/>
      <c r="G25" s="8"/>
    </row>
    <row r="26" spans="1:7" ht="15" customHeight="1" x14ac:dyDescent="0.3">
      <c r="A26" s="9" t="s">
        <v>639</v>
      </c>
      <c r="B26" s="130" t="s">
        <v>640</v>
      </c>
      <c r="C26" s="131">
        <v>18010</v>
      </c>
      <c r="D26" s="47">
        <f>C29</f>
        <v>17647.990699999998</v>
      </c>
      <c r="E26" s="47">
        <f>D29</f>
        <v>16396.529380448999</v>
      </c>
      <c r="F26" s="47">
        <f>E29</f>
        <v>15074.623782278408</v>
      </c>
      <c r="G26" s="47">
        <f>F29</f>
        <v>13439.126542049491</v>
      </c>
    </row>
    <row r="27" spans="1:7" ht="15" customHeight="1" x14ac:dyDescent="0.3">
      <c r="A27" s="9" t="s">
        <v>641</v>
      </c>
      <c r="B27" s="107"/>
      <c r="C27" s="104">
        <v>-243.75</v>
      </c>
      <c r="D27" s="104">
        <v>-243.75</v>
      </c>
      <c r="E27" s="104">
        <v>-243.75</v>
      </c>
      <c r="F27" s="104">
        <v>-243.75</v>
      </c>
      <c r="G27" s="104">
        <v>-243.75</v>
      </c>
    </row>
    <row r="28" spans="1:7" ht="15" customHeight="1" x14ac:dyDescent="0.3">
      <c r="A28" s="9" t="s">
        <v>642</v>
      </c>
      <c r="B28" s="132"/>
      <c r="C28" s="133">
        <f>-MAX(0,C23+C32+C27)</f>
        <v>-118.25930000000017</v>
      </c>
      <c r="D28" s="133">
        <f>-MAX(0,D23+D32+D27)</f>
        <v>-1007.7113195510001</v>
      </c>
      <c r="E28" s="133">
        <f>-MAX(0,E23+E32+E27)</f>
        <v>-1078.1555981705917</v>
      </c>
      <c r="F28" s="133">
        <f>-MAX(0,F23+F32+F27)</f>
        <v>-1391.7472402289168</v>
      </c>
      <c r="G28" s="133">
        <f>-MAX(0,G23+G32+G27)</f>
        <v>-1652.2530235724439</v>
      </c>
    </row>
    <row r="29" spans="1:7" ht="15" customHeight="1" x14ac:dyDescent="0.3">
      <c r="A29" s="32" t="s">
        <v>643</v>
      </c>
      <c r="B29" s="134"/>
      <c r="C29" s="45">
        <f>C26+C27+C28</f>
        <v>17647.990699999998</v>
      </c>
      <c r="D29" s="45">
        <f>D26+D27+D28</f>
        <v>16396.529380448999</v>
      </c>
      <c r="E29" s="45">
        <f>E26+E27+E28</f>
        <v>15074.623782278408</v>
      </c>
      <c r="F29" s="45">
        <f>F26+F27+F28</f>
        <v>13439.126542049491</v>
      </c>
      <c r="G29" s="45">
        <f>G26+G27+G28</f>
        <v>11543.123518477047</v>
      </c>
    </row>
    <row r="31" spans="1:7" ht="15" customHeight="1" x14ac:dyDescent="0.3">
      <c r="A31" s="9" t="s">
        <v>644</v>
      </c>
      <c r="B31" s="76"/>
      <c r="C31" s="71">
        <v>7.3069999999999996E-2</v>
      </c>
      <c r="D31" s="71">
        <v>7.3069999999999996E-2</v>
      </c>
      <c r="E31" s="71">
        <v>7.3069999999999996E-2</v>
      </c>
      <c r="F31" s="71">
        <v>7.3069999999999996E-2</v>
      </c>
      <c r="G31" s="71">
        <v>7.3069999999999996E-2</v>
      </c>
    </row>
    <row r="32" spans="1:7" ht="15" customHeight="1" x14ac:dyDescent="0.3">
      <c r="A32" s="9" t="s">
        <v>645</v>
      </c>
      <c r="B32" s="135"/>
      <c r="C32" s="115">
        <f>-C26*C31</f>
        <v>-1315.9906999999998</v>
      </c>
      <c r="D32" s="115">
        <f>-D26*D31</f>
        <v>-1289.5386804489999</v>
      </c>
      <c r="E32" s="115">
        <f>-E26*E31</f>
        <v>-1198.0944018294083</v>
      </c>
      <c r="F32" s="115">
        <f>-F26*F31</f>
        <v>-1101.5027597710832</v>
      </c>
      <c r="G32" s="115">
        <f>-G26*G31</f>
        <v>-981.99697642755621</v>
      </c>
    </row>
    <row r="33" spans="1:7" ht="14.25" customHeight="1" x14ac:dyDescent="0.3">
      <c r="A33" s="3" t="s">
        <v>646</v>
      </c>
    </row>
    <row r="34" spans="1:7" ht="15" customHeight="1" x14ac:dyDescent="0.3">
      <c r="A34" s="7" t="s">
        <v>647</v>
      </c>
      <c r="B34" s="8"/>
      <c r="C34" s="8"/>
      <c r="D34" s="8"/>
      <c r="E34" s="8"/>
      <c r="F34" s="8"/>
      <c r="G34" s="8"/>
    </row>
    <row r="35" spans="1:7" ht="15" customHeight="1" x14ac:dyDescent="0.3">
      <c r="A35" s="9" t="s">
        <v>648</v>
      </c>
      <c r="B35" s="108"/>
      <c r="C35" s="49">
        <f>C29/C17</f>
        <v>5.8767867798867792</v>
      </c>
      <c r="D35" s="49">
        <f>D29/D17</f>
        <v>3.9039355667735713</v>
      </c>
      <c r="E35" s="49">
        <f>E29/E17</f>
        <v>3.7129615227286719</v>
      </c>
      <c r="F35" s="49">
        <f>F29/F17</f>
        <v>3.1051586280151318</v>
      </c>
      <c r="G35" s="49">
        <f>G29/G17</f>
        <v>2.5651385596615661</v>
      </c>
    </row>
    <row r="36" spans="1:7" ht="15" customHeight="1" x14ac:dyDescent="0.3">
      <c r="A36" s="9" t="s">
        <v>649</v>
      </c>
      <c r="B36" s="108"/>
      <c r="C36" s="49">
        <f>C17/(-C32)</f>
        <v>2.2819310197252918</v>
      </c>
      <c r="D36" s="49">
        <f>D17/(-D32)</f>
        <v>3.2569786883303236</v>
      </c>
      <c r="E36" s="49">
        <f>E17/(-E32)</f>
        <v>3.388714606963072</v>
      </c>
      <c r="F36" s="49">
        <f>F17/(-F32)</f>
        <v>3.9291776272076291</v>
      </c>
      <c r="G36" s="49">
        <f>G17/(-G32)</f>
        <v>4.5824988345389004</v>
      </c>
    </row>
    <row r="39" spans="1:7" ht="15" customHeight="1" x14ac:dyDescent="0.3">
      <c r="A39" s="111" t="s">
        <v>650</v>
      </c>
      <c r="B39" s="8"/>
      <c r="C39" s="8"/>
      <c r="D39" s="8"/>
      <c r="E39" s="8"/>
      <c r="F39" s="8"/>
    </row>
    <row r="40" spans="1:7" ht="15" customHeight="1" x14ac:dyDescent="0.3">
      <c r="A40" s="32" t="s">
        <v>651</v>
      </c>
      <c r="B40" s="15">
        <v>36400</v>
      </c>
      <c r="C40" s="23" t="s">
        <v>652</v>
      </c>
    </row>
    <row r="41" spans="1:7" ht="15" customHeight="1" x14ac:dyDescent="0.3">
      <c r="A41" s="32" t="s">
        <v>653</v>
      </c>
      <c r="B41" s="15">
        <v>4500</v>
      </c>
      <c r="C41" s="23" t="s">
        <v>654</v>
      </c>
    </row>
    <row r="43" spans="1:7" ht="15" customHeight="1" x14ac:dyDescent="0.3">
      <c r="A43" s="53" t="s">
        <v>655</v>
      </c>
      <c r="B43" s="53" t="s">
        <v>403</v>
      </c>
      <c r="C43" s="53" t="s">
        <v>405</v>
      </c>
      <c r="D43" s="53" t="s">
        <v>507</v>
      </c>
      <c r="E43" s="53" t="s">
        <v>508</v>
      </c>
      <c r="F43" s="53" t="s">
        <v>568</v>
      </c>
    </row>
    <row r="44" spans="1:7" ht="15" customHeight="1" x14ac:dyDescent="0.3">
      <c r="A44" s="9" t="s">
        <v>656</v>
      </c>
      <c r="B44" s="46">
        <f>B41*14</f>
        <v>63000</v>
      </c>
      <c r="C44" s="46">
        <f>B41*16</f>
        <v>72000</v>
      </c>
      <c r="D44" s="46">
        <f>B41*18</f>
        <v>81000</v>
      </c>
      <c r="E44" s="46">
        <f>B41*20</f>
        <v>90000</v>
      </c>
      <c r="F44" s="46">
        <f>B41*22</f>
        <v>99000</v>
      </c>
    </row>
    <row r="45" spans="1:7" ht="15" customHeight="1" x14ac:dyDescent="0.3">
      <c r="A45" s="9" t="s">
        <v>657</v>
      </c>
      <c r="B45" s="46">
        <f>-G29</f>
        <v>-11543.123518477047</v>
      </c>
      <c r="C45" s="46">
        <f>-G29</f>
        <v>-11543.123518477047</v>
      </c>
      <c r="D45" s="46">
        <f>-G29</f>
        <v>-11543.123518477047</v>
      </c>
      <c r="E45" s="46">
        <f>-G29</f>
        <v>-11543.123518477047</v>
      </c>
      <c r="F45" s="46">
        <f>-G29</f>
        <v>-11543.123518477047</v>
      </c>
    </row>
    <row r="46" spans="1:7" ht="15" customHeight="1" x14ac:dyDescent="0.3">
      <c r="A46" s="9" t="s">
        <v>658</v>
      </c>
      <c r="B46" s="48">
        <f>B44+B45</f>
        <v>51456.876481522952</v>
      </c>
      <c r="C46" s="48">
        <f>C44+C45</f>
        <v>60456.876481522952</v>
      </c>
      <c r="D46" s="48">
        <f>D44+D45</f>
        <v>69456.876481522952</v>
      </c>
      <c r="E46" s="48">
        <f>E44+E45</f>
        <v>78456.876481522952</v>
      </c>
      <c r="F46" s="48">
        <f>F44+F45</f>
        <v>87456.876481522952</v>
      </c>
    </row>
    <row r="47" spans="1:7" ht="15" customHeight="1" x14ac:dyDescent="0.3">
      <c r="A47" s="27" t="s">
        <v>659</v>
      </c>
      <c r="B47" s="136">
        <f>B46/B40</f>
        <v>1.4136504527890921</v>
      </c>
      <c r="C47" s="136">
        <f>C46/B40</f>
        <v>1.6609032000418393</v>
      </c>
      <c r="D47" s="136">
        <f>D46/B40</f>
        <v>1.9081559472945866</v>
      </c>
      <c r="E47" s="136">
        <f>E46/B40</f>
        <v>2.1554086945473339</v>
      </c>
      <c r="F47" s="136">
        <f>F46/B40</f>
        <v>2.4026614418000811</v>
      </c>
    </row>
    <row r="48" spans="1:7" ht="15" customHeight="1" x14ac:dyDescent="0.3">
      <c r="A48" s="27" t="s">
        <v>660</v>
      </c>
      <c r="B48" s="137">
        <f>IFERROR((B46/B40)^(1/5)-1,"N/A")</f>
        <v>7.1688097486472202E-2</v>
      </c>
      <c r="C48" s="137">
        <f>IFERROR((C46/B40)^(1/5)-1,"N/A")</f>
        <v>0.10679927087565111</v>
      </c>
      <c r="D48" s="137">
        <f>IFERROR((D46/B40)^(1/5)-1,"N/A")</f>
        <v>0.13794893329301661</v>
      </c>
      <c r="E48" s="137">
        <f>IFERROR((E46/B40)^(1/5)-1,"N/A")</f>
        <v>0.16601980243358971</v>
      </c>
      <c r="F48" s="137">
        <f>IFERROR((F46/B40)^(1/5)-1,"N/A")</f>
        <v>0.19162200851642597</v>
      </c>
    </row>
    <row r="51" spans="1:7" ht="15" customHeight="1" x14ac:dyDescent="0.3">
      <c r="A51" s="8" t="s">
        <v>661</v>
      </c>
      <c r="B51" s="8"/>
      <c r="C51" s="8"/>
      <c r="D51" s="8"/>
      <c r="E51" s="8"/>
      <c r="F51" s="8"/>
      <c r="G51" s="8"/>
    </row>
    <row r="52" spans="1:7" ht="15" customHeight="1" x14ac:dyDescent="0.3">
      <c r="A52" s="138" t="s">
        <v>662</v>
      </c>
      <c r="B52" s="24"/>
      <c r="C52" s="24"/>
      <c r="D52" s="24"/>
      <c r="E52" s="24"/>
      <c r="F52" s="24"/>
      <c r="G52" s="24"/>
    </row>
    <row r="53" spans="1:7" ht="15" customHeight="1" x14ac:dyDescent="0.3">
      <c r="A53" s="40" t="s">
        <v>663</v>
      </c>
      <c r="B53" s="40" t="s">
        <v>111</v>
      </c>
      <c r="C53" s="40" t="s">
        <v>664</v>
      </c>
      <c r="D53" s="40" t="s">
        <v>665</v>
      </c>
      <c r="E53" s="40" t="s">
        <v>666</v>
      </c>
      <c r="F53" s="40" t="s">
        <v>667</v>
      </c>
      <c r="G53" s="40" t="s">
        <v>668</v>
      </c>
    </row>
    <row r="54" spans="1:7" ht="15" customHeight="1" x14ac:dyDescent="0.3">
      <c r="A54" s="9" t="s">
        <v>669</v>
      </c>
      <c r="B54" s="26">
        <v>500</v>
      </c>
      <c r="C54" s="139">
        <v>5</v>
      </c>
      <c r="D54" s="10" t="s">
        <v>173</v>
      </c>
      <c r="E54" s="10" t="s">
        <v>670</v>
      </c>
      <c r="F54" s="10" t="s">
        <v>173</v>
      </c>
      <c r="G54" s="9" t="s">
        <v>671</v>
      </c>
    </row>
    <row r="55" spans="1:7" ht="15" customHeight="1" x14ac:dyDescent="0.3">
      <c r="A55" s="73" t="s">
        <v>672</v>
      </c>
      <c r="B55" s="77">
        <v>2005</v>
      </c>
      <c r="C55" s="140">
        <v>7</v>
      </c>
      <c r="D55" s="141" t="s">
        <v>173</v>
      </c>
      <c r="E55" s="141" t="s">
        <v>673</v>
      </c>
      <c r="F55" s="141" t="s">
        <v>674</v>
      </c>
      <c r="G55" s="73" t="s">
        <v>671</v>
      </c>
    </row>
    <row r="56" spans="1:7" ht="15" customHeight="1" x14ac:dyDescent="0.3">
      <c r="A56" s="9" t="s">
        <v>675</v>
      </c>
      <c r="B56" s="26">
        <v>3250</v>
      </c>
      <c r="C56" s="139">
        <v>5</v>
      </c>
      <c r="D56" s="10" t="s">
        <v>173</v>
      </c>
      <c r="E56" s="10" t="s">
        <v>173</v>
      </c>
      <c r="F56" s="10" t="s">
        <v>173</v>
      </c>
      <c r="G56" s="9" t="s">
        <v>671</v>
      </c>
    </row>
    <row r="57" spans="1:7" ht="15" customHeight="1" x14ac:dyDescent="0.3">
      <c r="A57" s="73" t="s">
        <v>676</v>
      </c>
      <c r="B57" s="77">
        <v>6125</v>
      </c>
      <c r="C57" s="140">
        <v>7</v>
      </c>
      <c r="D57" s="141" t="s">
        <v>173</v>
      </c>
      <c r="E57" s="141" t="s">
        <v>677</v>
      </c>
      <c r="F57" s="141" t="s">
        <v>678</v>
      </c>
      <c r="G57" s="73" t="s">
        <v>671</v>
      </c>
    </row>
    <row r="58" spans="1:7" ht="15" customHeight="1" x14ac:dyDescent="0.3">
      <c r="A58" s="9" t="s">
        <v>679</v>
      </c>
      <c r="B58" s="26">
        <v>1255</v>
      </c>
      <c r="C58" s="139">
        <v>7</v>
      </c>
      <c r="D58" s="10" t="s">
        <v>680</v>
      </c>
      <c r="E58" s="10" t="s">
        <v>681</v>
      </c>
      <c r="F58" s="10" t="s">
        <v>681</v>
      </c>
      <c r="G58" s="9" t="s">
        <v>671</v>
      </c>
    </row>
    <row r="59" spans="1:7" ht="15" customHeight="1" x14ac:dyDescent="0.3">
      <c r="A59" s="73" t="s">
        <v>682</v>
      </c>
      <c r="B59" s="77">
        <v>2875</v>
      </c>
      <c r="C59" s="140">
        <v>7</v>
      </c>
      <c r="D59" s="141" t="s">
        <v>680</v>
      </c>
      <c r="E59" s="141" t="s">
        <v>683</v>
      </c>
      <c r="F59" s="141" t="s">
        <v>683</v>
      </c>
      <c r="G59" s="73" t="s">
        <v>671</v>
      </c>
    </row>
    <row r="60" spans="1:7" ht="15" customHeight="1" x14ac:dyDescent="0.3">
      <c r="A60" s="9" t="s">
        <v>684</v>
      </c>
      <c r="B60" s="26">
        <v>2500</v>
      </c>
      <c r="C60" s="139">
        <v>8</v>
      </c>
      <c r="D60" s="10" t="s">
        <v>685</v>
      </c>
      <c r="E60" s="10" t="s">
        <v>686</v>
      </c>
      <c r="F60" s="10" t="s">
        <v>686</v>
      </c>
      <c r="G60" s="9" t="s">
        <v>671</v>
      </c>
    </row>
    <row r="61" spans="1:7" ht="14.25" customHeight="1" x14ac:dyDescent="0.3">
      <c r="A61" s="7" t="s">
        <v>687</v>
      </c>
      <c r="B61" s="128">
        <f>SUM(B54:B60)</f>
        <v>18510</v>
      </c>
    </row>
    <row r="62" spans="1:7" ht="15" customHeight="1" x14ac:dyDescent="0.3"/>
    <row r="63" spans="1:7" ht="15" customHeight="1" x14ac:dyDescent="0.3">
      <c r="A63" s="12" t="s">
        <v>688</v>
      </c>
    </row>
    <row r="64" spans="1:7" ht="15" customHeight="1" x14ac:dyDescent="0.3">
      <c r="A64" s="12" t="s">
        <v>689</v>
      </c>
    </row>
    <row r="65" spans="1:3" ht="14.25" customHeight="1" x14ac:dyDescent="0.3">
      <c r="A65" s="12" t="s">
        <v>690</v>
      </c>
    </row>
    <row r="66" spans="1:3" ht="15" customHeight="1" x14ac:dyDescent="0.3"/>
    <row r="67" spans="1:3" ht="15" customHeight="1" x14ac:dyDescent="0.3">
      <c r="A67" s="142" t="s">
        <v>691</v>
      </c>
    </row>
    <row r="68" spans="1:3" ht="15" customHeight="1" x14ac:dyDescent="0.3">
      <c r="A68" s="9" t="s">
        <v>692</v>
      </c>
      <c r="B68" s="26">
        <v>7500</v>
      </c>
      <c r="C68" s="12" t="s">
        <v>693</v>
      </c>
    </row>
    <row r="69" spans="1:3" ht="15" customHeight="1" x14ac:dyDescent="0.3">
      <c r="A69" s="9" t="s">
        <v>694</v>
      </c>
      <c r="B69" s="26">
        <v>3369</v>
      </c>
      <c r="C69" s="12" t="s">
        <v>695</v>
      </c>
    </row>
    <row r="70" spans="1:3" ht="15" customHeight="1" x14ac:dyDescent="0.3">
      <c r="A70" s="9" t="s">
        <v>696</v>
      </c>
      <c r="B70" s="26">
        <v>53030</v>
      </c>
      <c r="C70" s="12" t="s">
        <v>697</v>
      </c>
    </row>
    <row r="71" spans="1:3" ht="15" customHeight="1" x14ac:dyDescent="0.3">
      <c r="A71" s="9" t="s">
        <v>698</v>
      </c>
      <c r="B71" s="143">
        <v>29.68</v>
      </c>
      <c r="C71" s="12" t="s">
        <v>699</v>
      </c>
    </row>
    <row r="72" spans="1:3" ht="14.25" customHeight="1" x14ac:dyDescent="0.3">
      <c r="A72" s="9" t="s">
        <v>700</v>
      </c>
      <c r="B72" s="49">
        <f>55000/B68</f>
        <v>7.333333333333333</v>
      </c>
      <c r="C72" s="12" t="s">
        <v>701</v>
      </c>
    </row>
    <row r="73" spans="1:3" ht="14.25" customHeight="1" x14ac:dyDescent="0.3"/>
    <row r="74" spans="1:3" ht="14.25" customHeight="1" x14ac:dyDescent="0.3">
      <c r="A74" s="1" t="s">
        <v>702</v>
      </c>
      <c r="B74" s="1"/>
    </row>
    <row r="75" spans="1:3" ht="14.25" customHeight="1" x14ac:dyDescent="0.3">
      <c r="A75" s="3" t="s">
        <v>703</v>
      </c>
    </row>
    <row r="76" spans="1:3" ht="14.25" customHeight="1" x14ac:dyDescent="0.3"/>
    <row r="77" spans="1:3" ht="14.25" customHeight="1" x14ac:dyDescent="0.3">
      <c r="A77" s="38" t="s">
        <v>704</v>
      </c>
      <c r="B77" s="144">
        <v>0.2</v>
      </c>
    </row>
    <row r="78" spans="1:3" ht="14.25" customHeight="1" x14ac:dyDescent="0.3">
      <c r="A78" s="38" t="s">
        <v>705</v>
      </c>
      <c r="B78" s="145">
        <v>5</v>
      </c>
    </row>
    <row r="79" spans="1:3" ht="14.25" customHeight="1" x14ac:dyDescent="0.3">
      <c r="A79" s="38" t="s">
        <v>706</v>
      </c>
      <c r="B79" s="68">
        <f>(1+B77)^B78</f>
        <v>2.4883199999999999</v>
      </c>
    </row>
    <row r="80" spans="1:3" ht="14.25" customHeight="1" x14ac:dyDescent="0.3">
      <c r="A80" s="38" t="s">
        <v>707</v>
      </c>
      <c r="B80" s="213">
        <f>G17</f>
        <v>4500</v>
      </c>
    </row>
    <row r="81" spans="1:6" ht="14.25" customHeight="1" x14ac:dyDescent="0.3">
      <c r="A81" s="38" t="s">
        <v>708</v>
      </c>
      <c r="B81" s="213">
        <f>G29</f>
        <v>11543.123518477047</v>
      </c>
    </row>
    <row r="82" spans="1:6" ht="14.25" customHeight="1" x14ac:dyDescent="0.3">
      <c r="A82" s="38" t="s">
        <v>504</v>
      </c>
      <c r="B82" s="99">
        <v>258.7</v>
      </c>
    </row>
    <row r="83" spans="1:6" ht="14.25" customHeight="1" x14ac:dyDescent="0.3">
      <c r="A83" s="38" t="s">
        <v>709</v>
      </c>
      <c r="B83" s="35">
        <v>18010</v>
      </c>
    </row>
    <row r="84" spans="1:6" ht="14.25" customHeight="1" x14ac:dyDescent="0.3"/>
    <row r="85" spans="1:6" ht="14.25" customHeight="1" x14ac:dyDescent="0.3">
      <c r="A85" s="40" t="s">
        <v>710</v>
      </c>
      <c r="B85" s="146" t="s">
        <v>403</v>
      </c>
      <c r="C85" s="146" t="s">
        <v>405</v>
      </c>
      <c r="D85" s="146" t="s">
        <v>507</v>
      </c>
      <c r="E85" s="146" t="s">
        <v>508</v>
      </c>
      <c r="F85" s="146" t="s">
        <v>568</v>
      </c>
    </row>
    <row r="86" spans="1:6" ht="14.25" customHeight="1" x14ac:dyDescent="0.3">
      <c r="A86" s="38" t="s">
        <v>711</v>
      </c>
      <c r="B86" s="39">
        <f>14*$B$80</f>
        <v>63000</v>
      </c>
      <c r="C86" s="39">
        <f>16*$B$80</f>
        <v>72000</v>
      </c>
      <c r="D86" s="39">
        <f>18*$B$80</f>
        <v>81000</v>
      </c>
      <c r="E86" s="39">
        <f>20*$B$80</f>
        <v>90000</v>
      </c>
      <c r="F86" s="39">
        <f>22*$B$80</f>
        <v>99000</v>
      </c>
    </row>
    <row r="87" spans="1:6" ht="14.25" customHeight="1" x14ac:dyDescent="0.3">
      <c r="A87" s="38" t="s">
        <v>712</v>
      </c>
      <c r="B87" s="39">
        <f>$B$81</f>
        <v>11543.123518477047</v>
      </c>
      <c r="C87" s="39">
        <f>$B$81</f>
        <v>11543.123518477047</v>
      </c>
      <c r="D87" s="39">
        <f>$B$81</f>
        <v>11543.123518477047</v>
      </c>
      <c r="E87" s="39">
        <f>$B$81</f>
        <v>11543.123518477047</v>
      </c>
      <c r="F87" s="39">
        <f>$B$81</f>
        <v>11543.123518477047</v>
      </c>
    </row>
    <row r="88" spans="1:6" ht="14.25" customHeight="1" x14ac:dyDescent="0.3">
      <c r="A88" s="38" t="s">
        <v>658</v>
      </c>
      <c r="B88" s="39">
        <f>B86-B87</f>
        <v>51456.876481522952</v>
      </c>
      <c r="C88" s="39">
        <f>C86-C87</f>
        <v>60456.876481522952</v>
      </c>
      <c r="D88" s="39">
        <f>D86-D87</f>
        <v>69456.876481522952</v>
      </c>
      <c r="E88" s="39">
        <f>E86-E87</f>
        <v>78456.876481522952</v>
      </c>
      <c r="F88" s="39">
        <f>F86-F87</f>
        <v>87456.876481522952</v>
      </c>
    </row>
    <row r="89" spans="1:6" ht="14.25" customHeight="1" x14ac:dyDescent="0.3">
      <c r="A89" s="38" t="s">
        <v>713</v>
      </c>
      <c r="B89" s="39">
        <f>B88/$B$79</f>
        <v>20679.364583945375</v>
      </c>
      <c r="C89" s="39">
        <f>C88/$B$79</f>
        <v>24296.262732093524</v>
      </c>
      <c r="D89" s="39">
        <f>D88/$B$79</f>
        <v>27913.16088024167</v>
      </c>
      <c r="E89" s="39">
        <f>E88/$B$79</f>
        <v>31530.05902838982</v>
      </c>
      <c r="F89" s="39">
        <f>F88/$B$79</f>
        <v>35146.957176537966</v>
      </c>
    </row>
    <row r="90" spans="1:6" ht="14.25" customHeight="1" x14ac:dyDescent="0.3">
      <c r="A90" s="38" t="s">
        <v>714</v>
      </c>
      <c r="B90" s="39">
        <f>B89+$B$83</f>
        <v>38689.364583945375</v>
      </c>
      <c r="C90" s="39">
        <f>C89+$B$83</f>
        <v>42306.262732093528</v>
      </c>
      <c r="D90" s="39">
        <f>D89+$B$83</f>
        <v>45923.160880241674</v>
      </c>
      <c r="E90" s="39">
        <f>E89+$B$83</f>
        <v>49540.05902838982</v>
      </c>
      <c r="F90" s="39">
        <f>F89+$B$83</f>
        <v>53156.957176537966</v>
      </c>
    </row>
    <row r="91" spans="1:6" ht="14.25" customHeight="1" x14ac:dyDescent="0.3">
      <c r="A91" s="38" t="s">
        <v>715</v>
      </c>
      <c r="B91" s="101">
        <f>B90/$B$82</f>
        <v>149.55301346712554</v>
      </c>
      <c r="C91" s="101">
        <f>C90/$B$82</f>
        <v>163.53406545069009</v>
      </c>
      <c r="D91" s="101">
        <f>D90/$B$82</f>
        <v>177.51511743425465</v>
      </c>
      <c r="E91" s="101">
        <f>E90/$B$82</f>
        <v>191.49616941781917</v>
      </c>
      <c r="F91" s="101">
        <f>F90/$B$82</f>
        <v>205.47722140138373</v>
      </c>
    </row>
    <row r="92" spans="1:6" ht="14.25" customHeight="1" x14ac:dyDescent="0.3"/>
    <row r="93" spans="1:6" ht="14.25" customHeight="1" x14ac:dyDescent="0.3">
      <c r="A93" s="1" t="s">
        <v>716</v>
      </c>
    </row>
    <row r="94" spans="1:6" ht="14.25" customHeight="1" x14ac:dyDescent="0.3">
      <c r="A94" s="38" t="s">
        <v>717</v>
      </c>
      <c r="B94" s="98">
        <f>C91</f>
        <v>163.53406545069009</v>
      </c>
    </row>
    <row r="95" spans="1:6" ht="14.25" customHeight="1" x14ac:dyDescent="0.3">
      <c r="A95" s="38" t="s">
        <v>718</v>
      </c>
      <c r="B95" s="98">
        <f>E91</f>
        <v>191.49616941781917</v>
      </c>
    </row>
    <row r="97" spans="1:6" x14ac:dyDescent="0.3">
      <c r="A97" s="1" t="s">
        <v>719</v>
      </c>
      <c r="B97" s="147"/>
    </row>
    <row r="98" spans="1:6" ht="75" customHeight="1" x14ac:dyDescent="0.3">
      <c r="A98" s="281" t="s">
        <v>720</v>
      </c>
      <c r="B98" s="272" t="s">
        <v>1074</v>
      </c>
    </row>
    <row r="99" spans="1:6" x14ac:dyDescent="0.3">
      <c r="A99" s="281"/>
      <c r="B99" s="272"/>
    </row>
    <row r="100" spans="1:6" ht="39.6" x14ac:dyDescent="0.3">
      <c r="A100" s="270" t="s">
        <v>721</v>
      </c>
      <c r="B100" s="6" t="s">
        <v>722</v>
      </c>
    </row>
    <row r="101" spans="1:6" ht="87.45" customHeight="1" x14ac:dyDescent="0.3">
      <c r="A101" s="281" t="s">
        <v>723</v>
      </c>
      <c r="B101" s="272" t="s">
        <v>1075</v>
      </c>
    </row>
    <row r="102" spans="1:6" ht="14.25" customHeight="1" x14ac:dyDescent="0.3">
      <c r="A102" s="281"/>
      <c r="B102" s="272"/>
    </row>
    <row r="104" spans="1:6" x14ac:dyDescent="0.3">
      <c r="A104" s="178" t="s">
        <v>1006</v>
      </c>
    </row>
    <row r="105" spans="1:6" x14ac:dyDescent="0.3">
      <c r="A105" s="179" t="s">
        <v>1008</v>
      </c>
    </row>
    <row r="107" spans="1:6" x14ac:dyDescent="0.3">
      <c r="A107" s="181" t="s">
        <v>1007</v>
      </c>
      <c r="B107" s="182">
        <v>14</v>
      </c>
      <c r="C107" s="182">
        <v>16</v>
      </c>
      <c r="D107" s="182">
        <v>18</v>
      </c>
      <c r="E107" s="182">
        <v>20</v>
      </c>
      <c r="F107" s="182">
        <v>22</v>
      </c>
    </row>
    <row r="108" spans="1:6" x14ac:dyDescent="0.3">
      <c r="A108" s="183">
        <v>0.15</v>
      </c>
      <c r="B108" s="184">
        <f>((B$107*$B$80-$B$81)/(1+$A108)^5+$B$83)/$B$82</f>
        <v>168.50854989459194</v>
      </c>
      <c r="C108" s="184">
        <f t="shared" ref="C108:F112" si="1">((C$107*$B$80-$B$81)/(1+$A108)^5+$B$83)/$B$82</f>
        <v>185.804996039488</v>
      </c>
      <c r="D108" s="184">
        <f t="shared" si="1"/>
        <v>203.10144218438404</v>
      </c>
      <c r="E108" s="184">
        <f t="shared" si="1"/>
        <v>220.39788832928011</v>
      </c>
      <c r="F108" s="184">
        <f t="shared" si="1"/>
        <v>237.69433447417617</v>
      </c>
    </row>
    <row r="109" spans="1:6" x14ac:dyDescent="0.3">
      <c r="A109" s="183">
        <v>0.18</v>
      </c>
      <c r="B109" s="184">
        <f t="shared" ref="B109:B112" si="2">((B$107*$B$80-$B$81)/(1+$A109)^5+$B$83)/$B$82</f>
        <v>156.56078449364523</v>
      </c>
      <c r="C109" s="184">
        <f t="shared" si="1"/>
        <v>171.76752181901875</v>
      </c>
      <c r="D109" s="184">
        <f t="shared" si="1"/>
        <v>186.97425914439228</v>
      </c>
      <c r="E109" s="184">
        <f t="shared" si="1"/>
        <v>202.18099646976577</v>
      </c>
      <c r="F109" s="184">
        <f t="shared" si="1"/>
        <v>217.3877337951393</v>
      </c>
    </row>
    <row r="110" spans="1:6" x14ac:dyDescent="0.3">
      <c r="A110" s="183">
        <v>0.2</v>
      </c>
      <c r="B110" s="184">
        <f t="shared" si="2"/>
        <v>149.55301346712554</v>
      </c>
      <c r="C110" s="184">
        <f t="shared" si="1"/>
        <v>163.53406545069009</v>
      </c>
      <c r="D110" s="185">
        <f t="shared" si="1"/>
        <v>177.51511743425465</v>
      </c>
      <c r="E110" s="184">
        <f t="shared" si="1"/>
        <v>191.49616941781917</v>
      </c>
      <c r="F110" s="184">
        <f t="shared" si="1"/>
        <v>205.47722140138373</v>
      </c>
    </row>
    <row r="111" spans="1:6" x14ac:dyDescent="0.3">
      <c r="A111" s="183">
        <v>0.22</v>
      </c>
      <c r="B111" s="184">
        <f t="shared" si="2"/>
        <v>143.21223746447907</v>
      </c>
      <c r="C111" s="184">
        <f t="shared" si="1"/>
        <v>156.0842640285876</v>
      </c>
      <c r="D111" s="184">
        <f t="shared" si="1"/>
        <v>168.95629059269612</v>
      </c>
      <c r="E111" s="184">
        <f t="shared" si="1"/>
        <v>181.82831715680464</v>
      </c>
      <c r="F111" s="184">
        <f t="shared" si="1"/>
        <v>194.70034372091317</v>
      </c>
    </row>
    <row r="112" spans="1:6" x14ac:dyDescent="0.3">
      <c r="A112" s="183">
        <v>0.25</v>
      </c>
      <c r="B112" s="184">
        <f t="shared" si="2"/>
        <v>134.79470152866426</v>
      </c>
      <c r="C112" s="184">
        <f t="shared" si="1"/>
        <v>146.1944695997891</v>
      </c>
      <c r="D112" s="184">
        <f t="shared" si="1"/>
        <v>157.59423767091397</v>
      </c>
      <c r="E112" s="184">
        <f t="shared" si="1"/>
        <v>168.99400574203881</v>
      </c>
      <c r="F112" s="184">
        <f t="shared" si="1"/>
        <v>180.39377381316365</v>
      </c>
    </row>
    <row r="114" spans="1:4" x14ac:dyDescent="0.3">
      <c r="A114" s="180" t="s">
        <v>1009</v>
      </c>
    </row>
    <row r="116" spans="1:4" x14ac:dyDescent="0.3">
      <c r="A116" s="186" t="s">
        <v>1040</v>
      </c>
      <c r="B116" s="170"/>
      <c r="C116" s="170"/>
      <c r="D116" s="170"/>
    </row>
    <row r="117" spans="1:4" x14ac:dyDescent="0.3">
      <c r="A117" s="179" t="s">
        <v>1041</v>
      </c>
    </row>
    <row r="119" spans="1:4" x14ac:dyDescent="0.3">
      <c r="A119" s="187" t="s">
        <v>1042</v>
      </c>
      <c r="B119" s="181" t="s">
        <v>1043</v>
      </c>
      <c r="C119" s="181" t="s">
        <v>1044</v>
      </c>
      <c r="D119" s="181" t="s">
        <v>1045</v>
      </c>
    </row>
    <row r="120" spans="1:4" x14ac:dyDescent="0.3">
      <c r="A120" s="170"/>
      <c r="B120" s="170"/>
      <c r="C120" s="170"/>
      <c r="D120" s="170"/>
    </row>
    <row r="121" spans="1:4" x14ac:dyDescent="0.3">
      <c r="A121" s="192" t="s">
        <v>1046</v>
      </c>
      <c r="B121" s="201" t="s">
        <v>1047</v>
      </c>
      <c r="C121" s="202">
        <f>B8</f>
        <v>36400.706421909999</v>
      </c>
      <c r="D121" s="170"/>
    </row>
    <row r="123" spans="1:4" x14ac:dyDescent="0.3">
      <c r="A123" s="188" t="s">
        <v>1048</v>
      </c>
      <c r="B123" s="170"/>
      <c r="C123" s="203">
        <f>B17</f>
        <v>2759</v>
      </c>
      <c r="D123" s="170"/>
    </row>
    <row r="124" spans="1:4" x14ac:dyDescent="0.3">
      <c r="A124" s="188" t="s">
        <v>1049</v>
      </c>
      <c r="B124" s="170"/>
      <c r="C124" s="204">
        <v>55000</v>
      </c>
      <c r="D124" s="170"/>
    </row>
    <row r="125" spans="1:4" x14ac:dyDescent="0.3">
      <c r="A125" s="188" t="s">
        <v>1050</v>
      </c>
      <c r="B125" s="170"/>
      <c r="C125" s="205">
        <f>C124/C123</f>
        <v>19.934758970641536</v>
      </c>
      <c r="D125" s="170"/>
    </row>
    <row r="126" spans="1:4" x14ac:dyDescent="0.3">
      <c r="A126" s="188" t="s">
        <v>1051</v>
      </c>
      <c r="B126" s="170"/>
      <c r="C126" s="203">
        <f>G17</f>
        <v>4500</v>
      </c>
      <c r="D126" s="170"/>
    </row>
    <row r="127" spans="1:4" x14ac:dyDescent="0.3">
      <c r="A127" s="188" t="s">
        <v>1052</v>
      </c>
      <c r="B127" s="170"/>
      <c r="C127" s="206">
        <v>18</v>
      </c>
      <c r="D127" s="170"/>
    </row>
    <row r="129" spans="1:4" x14ac:dyDescent="0.3">
      <c r="A129" s="207" t="s">
        <v>1053</v>
      </c>
      <c r="B129" s="201" t="s">
        <v>1054</v>
      </c>
      <c r="C129" s="208">
        <f>(C126-C123)*C125</f>
        <v>34706.415367886912</v>
      </c>
      <c r="D129" s="196">
        <f>C129/$C$132</f>
        <v>1.0689791913810525</v>
      </c>
    </row>
    <row r="130" spans="1:4" x14ac:dyDescent="0.3">
      <c r="A130" s="207" t="s">
        <v>1055</v>
      </c>
      <c r="B130" s="201" t="s">
        <v>1056</v>
      </c>
      <c r="C130" s="208">
        <f>(C127-C125)*C126</f>
        <v>-8706.4153678869097</v>
      </c>
      <c r="D130" s="196">
        <f>C130/$C$132</f>
        <v>-0.26816301139537618</v>
      </c>
    </row>
    <row r="131" spans="1:4" x14ac:dyDescent="0.3">
      <c r="A131" s="207" t="s">
        <v>1057</v>
      </c>
      <c r="B131" s="201" t="s">
        <v>1058</v>
      </c>
      <c r="C131" s="208">
        <f>B9-G29</f>
        <v>6466.8764815229533</v>
      </c>
      <c r="D131" s="196">
        <f>C131/$C$132</f>
        <v>0.19918382001432391</v>
      </c>
    </row>
    <row r="132" spans="1:4" x14ac:dyDescent="0.3">
      <c r="A132" s="197" t="s">
        <v>1059</v>
      </c>
      <c r="B132" s="170"/>
      <c r="C132" s="209">
        <f>SUM(C129:C131)</f>
        <v>32466.876481522952</v>
      </c>
      <c r="D132" s="210">
        <f>SUM(D129:D131)</f>
        <v>1.0000000000000002</v>
      </c>
    </row>
    <row r="134" spans="1:4" x14ac:dyDescent="0.3">
      <c r="A134" s="207" t="s">
        <v>658</v>
      </c>
      <c r="B134" s="201" t="s">
        <v>1060</v>
      </c>
      <c r="C134" s="202">
        <f>C121+C132</f>
        <v>68867.582903432951</v>
      </c>
      <c r="D134" s="170"/>
    </row>
    <row r="135" spans="1:4" x14ac:dyDescent="0.3">
      <c r="A135" s="207" t="s">
        <v>659</v>
      </c>
      <c r="B135" s="170"/>
      <c r="C135" s="217">
        <f>C134/C121</f>
        <v>1.8919298462290493</v>
      </c>
      <c r="D135" s="170"/>
    </row>
    <row r="136" spans="1:4" x14ac:dyDescent="0.3">
      <c r="A136" s="207" t="s">
        <v>1061</v>
      </c>
      <c r="B136" s="170"/>
      <c r="C136" s="211">
        <f>(C135)^(1/5)-1</f>
        <v>0.13600699534761662</v>
      </c>
      <c r="D136" s="170"/>
    </row>
    <row r="138" spans="1:4" x14ac:dyDescent="0.3">
      <c r="A138" s="200" t="s">
        <v>1062</v>
      </c>
    </row>
  </sheetData>
  <mergeCells count="4">
    <mergeCell ref="A98:A99"/>
    <mergeCell ref="B98:B99"/>
    <mergeCell ref="B101:B102"/>
    <mergeCell ref="A101:A10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8F00"/>
  </sheetPr>
  <dimension ref="A1:G98"/>
  <sheetViews>
    <sheetView topLeftCell="A76" zoomScaleNormal="100" workbookViewId="0">
      <selection activeCell="A12" sqref="A12:F12"/>
    </sheetView>
  </sheetViews>
  <sheetFormatPr defaultColWidth="8.6640625" defaultRowHeight="14.4" x14ac:dyDescent="0.3"/>
  <cols>
    <col min="1" max="1" width="40" customWidth="1"/>
    <col min="2" max="3" width="13" customWidth="1"/>
    <col min="4" max="4" width="16.44140625" customWidth="1"/>
    <col min="5" max="5" width="11.109375" customWidth="1"/>
    <col min="6" max="6" width="36.44140625" customWidth="1"/>
  </cols>
  <sheetData>
    <row r="1" spans="1:7" ht="15.75" customHeight="1" x14ac:dyDescent="0.3">
      <c r="A1" s="2" t="s">
        <v>724</v>
      </c>
    </row>
    <row r="2" spans="1:7" ht="15" customHeight="1" x14ac:dyDescent="0.3">
      <c r="A2" s="3" t="s">
        <v>725</v>
      </c>
    </row>
    <row r="4" spans="1:7" ht="15" customHeight="1" x14ac:dyDescent="0.3">
      <c r="A4" s="274" t="s">
        <v>726</v>
      </c>
      <c r="B4" s="274"/>
      <c r="C4" s="274"/>
      <c r="D4" s="274"/>
      <c r="E4" s="274"/>
      <c r="F4" s="274"/>
    </row>
    <row r="5" spans="1:7" ht="15" customHeight="1" x14ac:dyDescent="0.3">
      <c r="A5" s="32" t="s">
        <v>727</v>
      </c>
      <c r="B5" s="148" t="s">
        <v>728</v>
      </c>
      <c r="C5" s="148" t="s">
        <v>729</v>
      </c>
      <c r="D5" s="149" t="s">
        <v>730</v>
      </c>
      <c r="E5" s="148" t="s">
        <v>731</v>
      </c>
      <c r="F5" s="32" t="s">
        <v>732</v>
      </c>
      <c r="G5" s="150"/>
    </row>
    <row r="6" spans="1:7" ht="20.399999999999999" x14ac:dyDescent="0.3">
      <c r="A6" s="151" t="s">
        <v>733</v>
      </c>
      <c r="B6" s="51">
        <v>116.53</v>
      </c>
      <c r="C6" s="51">
        <v>179.01</v>
      </c>
      <c r="D6" s="30">
        <f>(B6+C6)/2</f>
        <v>147.76999999999998</v>
      </c>
      <c r="E6" s="13">
        <v>210</v>
      </c>
      <c r="F6" s="11" t="s">
        <v>734</v>
      </c>
    </row>
    <row r="7" spans="1:7" ht="23.25" customHeight="1" x14ac:dyDescent="0.3">
      <c r="A7" s="151" t="s">
        <v>735</v>
      </c>
      <c r="B7" s="51">
        <v>137</v>
      </c>
      <c r="C7" s="51">
        <v>220</v>
      </c>
      <c r="D7" s="30">
        <f>(B7+C7)/2</f>
        <v>178.5</v>
      </c>
      <c r="E7" s="13">
        <v>210</v>
      </c>
      <c r="F7" s="11" t="s">
        <v>736</v>
      </c>
    </row>
    <row r="8" spans="1:7" ht="20.399999999999999" x14ac:dyDescent="0.3">
      <c r="A8" s="152" t="s">
        <v>737</v>
      </c>
      <c r="B8" s="13">
        <v>157</v>
      </c>
      <c r="C8" s="13">
        <v>236</v>
      </c>
      <c r="D8" s="30">
        <f>(B8+C8)/2</f>
        <v>196.5</v>
      </c>
      <c r="E8" s="13">
        <v>210</v>
      </c>
      <c r="F8" s="11" t="s">
        <v>738</v>
      </c>
    </row>
    <row r="9" spans="1:7" ht="20.399999999999999" x14ac:dyDescent="0.3">
      <c r="A9" s="152" t="s">
        <v>739</v>
      </c>
      <c r="B9" s="13">
        <v>203</v>
      </c>
      <c r="C9" s="13">
        <v>255</v>
      </c>
      <c r="D9" s="30">
        <f>(B9+C9)/2</f>
        <v>229</v>
      </c>
      <c r="E9" s="13">
        <v>210</v>
      </c>
      <c r="F9" s="11" t="s">
        <v>740</v>
      </c>
    </row>
    <row r="10" spans="1:7" ht="20.399999999999999" x14ac:dyDescent="0.3">
      <c r="A10" s="152" t="s">
        <v>741</v>
      </c>
      <c r="B10" s="13">
        <v>163</v>
      </c>
      <c r="C10" s="13">
        <v>218</v>
      </c>
      <c r="D10" s="30">
        <f>(B10+C10)/2</f>
        <v>190.5</v>
      </c>
      <c r="E10" s="13">
        <v>210</v>
      </c>
      <c r="F10" s="11" t="s">
        <v>742</v>
      </c>
    </row>
    <row r="11" spans="1:7" ht="15" customHeight="1" x14ac:dyDescent="0.3">
      <c r="A11" s="32"/>
      <c r="B11" s="25"/>
      <c r="C11" s="25"/>
      <c r="D11" s="30"/>
      <c r="E11" s="123"/>
      <c r="F11" s="12"/>
    </row>
    <row r="12" spans="1:7" ht="15" customHeight="1" x14ac:dyDescent="0.3">
      <c r="A12" s="275" t="s">
        <v>743</v>
      </c>
      <c r="B12" s="275"/>
      <c r="C12" s="275"/>
      <c r="D12" s="275"/>
      <c r="E12" s="275"/>
      <c r="F12" s="275"/>
    </row>
    <row r="13" spans="1:7" x14ac:dyDescent="0.3">
      <c r="A13" s="40" t="s">
        <v>727</v>
      </c>
      <c r="B13" s="40" t="s">
        <v>728</v>
      </c>
      <c r="C13" s="40" t="s">
        <v>729</v>
      </c>
      <c r="D13" s="40" t="s">
        <v>730</v>
      </c>
      <c r="E13" s="40" t="s">
        <v>731</v>
      </c>
      <c r="F13" s="40" t="s">
        <v>732</v>
      </c>
    </row>
    <row r="14" spans="1:7" ht="20.399999999999999" x14ac:dyDescent="0.3">
      <c r="A14" s="166" t="s">
        <v>744</v>
      </c>
      <c r="B14" s="214">
        <f>CCA!B69</f>
        <v>163.91959798994975</v>
      </c>
      <c r="C14" s="214">
        <f>CCA!B70</f>
        <v>233.5678391959799</v>
      </c>
      <c r="D14" s="36">
        <f>(B14+C14)/2</f>
        <v>198.74371859296483</v>
      </c>
      <c r="E14" s="51">
        <v>210</v>
      </c>
      <c r="F14" s="11" t="s">
        <v>745</v>
      </c>
    </row>
    <row r="15" spans="1:7" ht="20.399999999999999" x14ac:dyDescent="0.3">
      <c r="A15" s="153" t="s">
        <v>746</v>
      </c>
      <c r="B15" s="214">
        <f>PTA!B44</f>
        <v>187.1356783919598</v>
      </c>
      <c r="C15" s="214">
        <f>PTA!B45</f>
        <v>233.5678391959799</v>
      </c>
      <c r="D15" s="36">
        <f>(B15+C15)/2</f>
        <v>210.35175879396985</v>
      </c>
      <c r="E15" s="51">
        <v>210</v>
      </c>
      <c r="F15" s="11" t="s">
        <v>747</v>
      </c>
    </row>
    <row r="16" spans="1:7" ht="20.399999999999999" x14ac:dyDescent="0.3">
      <c r="A16" s="154" t="s">
        <v>748</v>
      </c>
      <c r="B16" s="214">
        <f>'LBO Model'!B94</f>
        <v>163.53406545069009</v>
      </c>
      <c r="C16" s="214">
        <f>'LBO Model'!B95</f>
        <v>191.49616941781917</v>
      </c>
      <c r="D16" s="36">
        <f>(B16+C16)/2</f>
        <v>177.51511743425465</v>
      </c>
      <c r="E16" s="51">
        <v>210</v>
      </c>
      <c r="F16" s="11" t="s">
        <v>749</v>
      </c>
    </row>
    <row r="17" spans="1:5" ht="15" customHeight="1" x14ac:dyDescent="0.3">
      <c r="A17" s="22"/>
    </row>
    <row r="18" spans="1:5" ht="14.25" customHeight="1" x14ac:dyDescent="0.3">
      <c r="A18" s="1" t="s">
        <v>750</v>
      </c>
      <c r="B18" s="1"/>
    </row>
    <row r="19" spans="1:5" ht="14.25" customHeight="1" x14ac:dyDescent="0.3">
      <c r="A19" s="38" t="s">
        <v>14</v>
      </c>
      <c r="B19" s="155">
        <v>210</v>
      </c>
    </row>
    <row r="20" spans="1:5" ht="14.25" customHeight="1" x14ac:dyDescent="0.3">
      <c r="A20" s="38" t="s">
        <v>751</v>
      </c>
      <c r="B20" s="14">
        <f>(B19-168.32)/168.32</f>
        <v>0.24762357414448674</v>
      </c>
    </row>
    <row r="21" spans="1:5" ht="14.25" customHeight="1" x14ac:dyDescent="0.3">
      <c r="A21" s="38" t="s">
        <v>752</v>
      </c>
      <c r="B21" s="14">
        <f>(B19-179.01)/179.01</f>
        <v>0.17311882017764377</v>
      </c>
    </row>
    <row r="22" spans="1:5" ht="14.25" customHeight="1" x14ac:dyDescent="0.3">
      <c r="A22" s="38" t="s">
        <v>753</v>
      </c>
      <c r="B22" s="14">
        <f>(B19-116.53)/116.53</f>
        <v>0.80211104436625758</v>
      </c>
    </row>
    <row r="23" spans="1:5" ht="14.25" customHeight="1" x14ac:dyDescent="0.3">
      <c r="A23" s="38" t="s">
        <v>754</v>
      </c>
      <c r="B23" s="59" t="s">
        <v>755</v>
      </c>
    </row>
    <row r="25" spans="1:5" ht="14.25" customHeight="1" x14ac:dyDescent="0.3">
      <c r="A25" s="156" t="s">
        <v>756</v>
      </c>
    </row>
    <row r="27" spans="1:5" ht="14.25" customHeight="1" x14ac:dyDescent="0.3">
      <c r="A27" s="1" t="s">
        <v>757</v>
      </c>
      <c r="B27" s="1"/>
      <c r="C27" s="1"/>
      <c r="D27" s="1"/>
      <c r="E27" s="1"/>
    </row>
    <row r="28" spans="1:5" ht="14.25" customHeight="1" x14ac:dyDescent="0.3">
      <c r="A28" s="40" t="s">
        <v>727</v>
      </c>
      <c r="B28" s="40" t="s">
        <v>758</v>
      </c>
      <c r="D28" s="40" t="s">
        <v>759</v>
      </c>
    </row>
    <row r="29" spans="1:5" ht="14.25" customHeight="1" x14ac:dyDescent="0.3">
      <c r="A29" s="22" t="s">
        <v>760</v>
      </c>
      <c r="B29" s="22" t="s">
        <v>761</v>
      </c>
      <c r="D29" s="22" t="s">
        <v>762</v>
      </c>
    </row>
    <row r="30" spans="1:5" ht="14.25" customHeight="1" x14ac:dyDescent="0.3">
      <c r="A30" s="22" t="s">
        <v>735</v>
      </c>
      <c r="B30" s="22" t="s">
        <v>292</v>
      </c>
      <c r="D30" s="22" t="s">
        <v>763</v>
      </c>
    </row>
    <row r="31" spans="1:5" ht="14.25" customHeight="1" x14ac:dyDescent="0.3">
      <c r="A31" s="22" t="s">
        <v>737</v>
      </c>
      <c r="B31" s="22" t="s">
        <v>375</v>
      </c>
      <c r="D31" s="22" t="s">
        <v>764</v>
      </c>
    </row>
    <row r="32" spans="1:5" ht="14.25" customHeight="1" x14ac:dyDescent="0.3">
      <c r="A32" s="22" t="s">
        <v>765</v>
      </c>
      <c r="B32" s="22" t="s">
        <v>766</v>
      </c>
      <c r="D32" s="22" t="s">
        <v>767</v>
      </c>
    </row>
    <row r="33" spans="1:4" ht="14.25" customHeight="1" x14ac:dyDescent="0.3">
      <c r="A33" s="22" t="s">
        <v>768</v>
      </c>
      <c r="B33" s="22" t="s">
        <v>769</v>
      </c>
      <c r="D33" s="22" t="s">
        <v>770</v>
      </c>
    </row>
    <row r="34" spans="1:4" ht="15" customHeight="1" x14ac:dyDescent="0.3">
      <c r="A34" s="22" t="s">
        <v>771</v>
      </c>
      <c r="B34" s="215" t="str">
        <f>"$"&amp;ROUND(CCA!B69,0)&amp;" - $"&amp;ROUND(CCA!B70,0)</f>
        <v>$164 - $234</v>
      </c>
      <c r="D34" s="22" t="s">
        <v>772</v>
      </c>
    </row>
    <row r="35" spans="1:4" ht="15" customHeight="1" x14ac:dyDescent="0.3">
      <c r="A35" s="22" t="s">
        <v>773</v>
      </c>
      <c r="B35" s="215" t="str">
        <f>"$"&amp;ROUND(PTA!B44,0)&amp;" - $"&amp;ROUND(PTA!B45,0)</f>
        <v>$187 - $234</v>
      </c>
      <c r="D35" s="22" t="s">
        <v>772</v>
      </c>
    </row>
    <row r="36" spans="1:4" ht="15" customHeight="1" x14ac:dyDescent="0.3">
      <c r="A36" s="22" t="s">
        <v>774</v>
      </c>
      <c r="B36" s="215" t="str">
        <f>"$"&amp;ROUND('LBO Model'!B94,0)&amp;" - $"&amp;ROUND('LBO Model'!B95,0)</f>
        <v>$164 - $191</v>
      </c>
      <c r="D36" s="22" t="s">
        <v>775</v>
      </c>
    </row>
    <row r="38" spans="1:4" ht="15" customHeight="1" x14ac:dyDescent="0.3">
      <c r="A38" s="3" t="s">
        <v>776</v>
      </c>
    </row>
    <row r="39" spans="1:4" ht="15" customHeight="1" x14ac:dyDescent="0.3">
      <c r="A39" s="3"/>
    </row>
    <row r="66" spans="1:6" ht="21.75" customHeight="1" x14ac:dyDescent="0.3">
      <c r="A66" s="273" t="s">
        <v>777</v>
      </c>
      <c r="B66" s="273"/>
      <c r="C66" s="273"/>
      <c r="D66" s="273"/>
      <c r="E66" s="273"/>
      <c r="F66" s="273"/>
    </row>
    <row r="67" spans="1:6" ht="90" customHeight="1" x14ac:dyDescent="0.3">
      <c r="A67" s="272" t="s">
        <v>778</v>
      </c>
      <c r="B67" s="272"/>
      <c r="C67" s="272"/>
      <c r="D67" s="272"/>
      <c r="E67" s="272"/>
      <c r="F67" s="272"/>
    </row>
    <row r="69" spans="1:6" ht="21.75" customHeight="1" x14ac:dyDescent="0.3">
      <c r="A69" s="5" t="s">
        <v>727</v>
      </c>
      <c r="B69" s="276" t="s">
        <v>779</v>
      </c>
      <c r="C69" s="276"/>
      <c r="D69" s="276" t="s">
        <v>780</v>
      </c>
      <c r="E69" s="276"/>
      <c r="F69" s="276"/>
    </row>
    <row r="70" spans="1:6" ht="90" customHeight="1" x14ac:dyDescent="0.3">
      <c r="A70" s="40" t="s">
        <v>781</v>
      </c>
      <c r="B70" s="272" t="s">
        <v>782</v>
      </c>
      <c r="C70" s="272"/>
      <c r="D70" s="272" t="s">
        <v>783</v>
      </c>
      <c r="E70" s="272"/>
      <c r="F70" s="272"/>
    </row>
    <row r="71" spans="1:6" ht="90" customHeight="1" x14ac:dyDescent="0.3">
      <c r="A71" s="40" t="s">
        <v>784</v>
      </c>
      <c r="B71" s="272" t="s">
        <v>785</v>
      </c>
      <c r="C71" s="272"/>
      <c r="D71" s="272" t="s">
        <v>786</v>
      </c>
      <c r="E71" s="272"/>
      <c r="F71" s="272"/>
    </row>
    <row r="72" spans="1:6" ht="90" customHeight="1" x14ac:dyDescent="0.3">
      <c r="A72" s="40" t="s">
        <v>787</v>
      </c>
      <c r="B72" s="272" t="s">
        <v>788</v>
      </c>
      <c r="C72" s="272"/>
      <c r="D72" s="272" t="s">
        <v>789</v>
      </c>
      <c r="E72" s="272"/>
      <c r="F72" s="272"/>
    </row>
    <row r="73" spans="1:6" ht="90" customHeight="1" x14ac:dyDescent="0.3">
      <c r="A73" s="40" t="s">
        <v>790</v>
      </c>
      <c r="B73" s="272" t="s">
        <v>791</v>
      </c>
      <c r="C73" s="272"/>
      <c r="D73" s="272" t="s">
        <v>792</v>
      </c>
      <c r="E73" s="272"/>
      <c r="F73" s="272"/>
    </row>
    <row r="75" spans="1:6" ht="21.75" customHeight="1" x14ac:dyDescent="0.3">
      <c r="A75" s="273" t="s">
        <v>793</v>
      </c>
      <c r="B75" s="273"/>
      <c r="C75" s="273"/>
      <c r="D75" s="273"/>
      <c r="E75" s="273"/>
      <c r="F75" s="273"/>
    </row>
    <row r="76" spans="1:6" ht="90" customHeight="1" x14ac:dyDescent="0.3">
      <c r="A76" s="271" t="s">
        <v>794</v>
      </c>
      <c r="B76" s="271"/>
      <c r="C76" s="271"/>
      <c r="D76" s="271"/>
      <c r="E76" s="271"/>
      <c r="F76" s="271"/>
    </row>
    <row r="78" spans="1:6" ht="21.75" customHeight="1" x14ac:dyDescent="0.3">
      <c r="A78" s="273" t="s">
        <v>795</v>
      </c>
      <c r="B78" s="273"/>
      <c r="C78" s="273"/>
      <c r="D78" s="273"/>
      <c r="E78" s="273"/>
      <c r="F78" s="273"/>
    </row>
    <row r="79" spans="1:6" ht="129.75" customHeight="1" x14ac:dyDescent="0.3">
      <c r="A79" s="271" t="s">
        <v>796</v>
      </c>
      <c r="B79" s="271"/>
      <c r="C79" s="271"/>
      <c r="D79" s="271"/>
      <c r="E79" s="271"/>
      <c r="F79" s="271"/>
    </row>
    <row r="98" ht="83.25" customHeight="1" x14ac:dyDescent="0.3"/>
  </sheetData>
  <mergeCells count="18">
    <mergeCell ref="A4:F4"/>
    <mergeCell ref="A12:F12"/>
    <mergeCell ref="A66:F66"/>
    <mergeCell ref="A67:F67"/>
    <mergeCell ref="B69:C69"/>
    <mergeCell ref="D69:F69"/>
    <mergeCell ref="B70:C70"/>
    <mergeCell ref="D70:F70"/>
    <mergeCell ref="B71:C71"/>
    <mergeCell ref="D71:F71"/>
    <mergeCell ref="B72:C72"/>
    <mergeCell ref="D72:F72"/>
    <mergeCell ref="A79:F79"/>
    <mergeCell ref="B73:C73"/>
    <mergeCell ref="D73:F73"/>
    <mergeCell ref="A75:F75"/>
    <mergeCell ref="A76:F76"/>
    <mergeCell ref="A78:F78"/>
  </mergeCells>
  <pageMargins left="0.75" right="0.75" top="1" bottom="1"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G17"/>
  <sheetViews>
    <sheetView zoomScaleNormal="100" workbookViewId="0">
      <selection activeCell="G23" sqref="G23"/>
    </sheetView>
  </sheetViews>
  <sheetFormatPr defaultColWidth="8.6640625" defaultRowHeight="14.4" x14ac:dyDescent="0.3"/>
  <cols>
    <col min="1" max="1" width="35" customWidth="1"/>
    <col min="2" max="3" width="14" customWidth="1"/>
    <col min="4" max="4" width="12.6640625" customWidth="1"/>
    <col min="5" max="5" width="17.21875" customWidth="1"/>
    <col min="6" max="6" width="14" customWidth="1"/>
    <col min="7" max="7" width="24" customWidth="1"/>
  </cols>
  <sheetData>
    <row r="1" spans="1:7" ht="15.75" customHeight="1" x14ac:dyDescent="0.3">
      <c r="A1" s="2" t="s">
        <v>797</v>
      </c>
    </row>
    <row r="2" spans="1:7" ht="15" customHeight="1" x14ac:dyDescent="0.3">
      <c r="A2" s="3" t="s">
        <v>798</v>
      </c>
    </row>
    <row r="4" spans="1:7" ht="15" customHeight="1" x14ac:dyDescent="0.3">
      <c r="A4" s="157" t="s">
        <v>727</v>
      </c>
      <c r="B4" s="157" t="s">
        <v>728</v>
      </c>
      <c r="C4" s="157" t="s">
        <v>729</v>
      </c>
      <c r="D4" s="157" t="s">
        <v>799</v>
      </c>
      <c r="E4" s="157" t="s">
        <v>800</v>
      </c>
      <c r="F4" s="157" t="s">
        <v>494</v>
      </c>
      <c r="G4" s="40" t="s">
        <v>801</v>
      </c>
    </row>
    <row r="5" spans="1:7" ht="15" customHeight="1" x14ac:dyDescent="0.3">
      <c r="A5" s="158" t="s">
        <v>802</v>
      </c>
      <c r="B5" s="25">
        <v>116.53</v>
      </c>
      <c r="C5" s="25">
        <v>179.01</v>
      </c>
      <c r="D5" s="30">
        <f t="shared" ref="D5:D12" si="0">B5</f>
        <v>116.53</v>
      </c>
      <c r="E5" s="30">
        <f t="shared" ref="E5:E12" si="1">C5-B5</f>
        <v>62.47999999999999</v>
      </c>
      <c r="F5" s="25">
        <v>210</v>
      </c>
      <c r="G5" s="22" t="s">
        <v>803</v>
      </c>
    </row>
    <row r="6" spans="1:7" ht="15" customHeight="1" x14ac:dyDescent="0.3">
      <c r="A6" s="158" t="s">
        <v>768</v>
      </c>
      <c r="B6" s="25">
        <v>163</v>
      </c>
      <c r="C6" s="25">
        <v>218</v>
      </c>
      <c r="D6" s="30">
        <f t="shared" si="0"/>
        <v>163</v>
      </c>
      <c r="E6" s="30">
        <f t="shared" si="1"/>
        <v>55</v>
      </c>
      <c r="F6" s="25">
        <v>210</v>
      </c>
      <c r="G6" s="22" t="s">
        <v>803</v>
      </c>
    </row>
    <row r="7" spans="1:7" ht="15" customHeight="1" x14ac:dyDescent="0.3">
      <c r="A7" s="158" t="s">
        <v>765</v>
      </c>
      <c r="B7" s="25">
        <v>203</v>
      </c>
      <c r="C7" s="25">
        <v>255</v>
      </c>
      <c r="D7" s="30">
        <f t="shared" si="0"/>
        <v>203</v>
      </c>
      <c r="E7" s="30">
        <f t="shared" si="1"/>
        <v>52</v>
      </c>
      <c r="F7" s="25">
        <v>210</v>
      </c>
      <c r="G7" s="22" t="s">
        <v>803</v>
      </c>
    </row>
    <row r="8" spans="1:7" ht="15" customHeight="1" x14ac:dyDescent="0.3">
      <c r="A8" s="158" t="s">
        <v>804</v>
      </c>
      <c r="B8" s="25">
        <v>157</v>
      </c>
      <c r="C8" s="25">
        <v>236</v>
      </c>
      <c r="D8" s="30">
        <f t="shared" si="0"/>
        <v>157</v>
      </c>
      <c r="E8" s="30">
        <f t="shared" si="1"/>
        <v>79</v>
      </c>
      <c r="F8" s="25">
        <v>210</v>
      </c>
      <c r="G8" s="22" t="s">
        <v>803</v>
      </c>
    </row>
    <row r="9" spans="1:7" ht="14.25" customHeight="1" x14ac:dyDescent="0.3">
      <c r="A9" s="159" t="s">
        <v>805</v>
      </c>
      <c r="B9" s="51">
        <v>137</v>
      </c>
      <c r="C9" s="51">
        <v>220</v>
      </c>
      <c r="D9" s="36">
        <f t="shared" si="0"/>
        <v>137</v>
      </c>
      <c r="E9" s="36">
        <f t="shared" si="1"/>
        <v>83</v>
      </c>
      <c r="F9" s="51">
        <v>210</v>
      </c>
      <c r="G9" s="22" t="s">
        <v>803</v>
      </c>
    </row>
    <row r="10" spans="1:7" ht="14.25" customHeight="1" x14ac:dyDescent="0.3">
      <c r="A10" s="154" t="s">
        <v>806</v>
      </c>
      <c r="B10" s="214">
        <f>'Football Field'!B14</f>
        <v>163.91959798994975</v>
      </c>
      <c r="C10" s="214">
        <f>'Football Field'!C14</f>
        <v>233.5678391959799</v>
      </c>
      <c r="D10" s="36">
        <f t="shared" si="0"/>
        <v>163.91959798994975</v>
      </c>
      <c r="E10" s="36">
        <f t="shared" si="1"/>
        <v>69.64824120603015</v>
      </c>
      <c r="F10" s="51">
        <v>210</v>
      </c>
      <c r="G10" s="22" t="s">
        <v>807</v>
      </c>
    </row>
    <row r="11" spans="1:7" ht="14.25" customHeight="1" x14ac:dyDescent="0.3">
      <c r="A11" s="154" t="s">
        <v>808</v>
      </c>
      <c r="B11" s="214">
        <f>'Football Field'!B15</f>
        <v>187.1356783919598</v>
      </c>
      <c r="C11" s="214">
        <f>'Football Field'!C15</f>
        <v>233.5678391959799</v>
      </c>
      <c r="D11" s="36">
        <f t="shared" si="0"/>
        <v>187.1356783919598</v>
      </c>
      <c r="E11" s="36">
        <f t="shared" si="1"/>
        <v>46.4321608040201</v>
      </c>
      <c r="F11" s="51">
        <v>210</v>
      </c>
      <c r="G11" s="22" t="s">
        <v>807</v>
      </c>
    </row>
    <row r="12" spans="1:7" ht="14.25" customHeight="1" x14ac:dyDescent="0.3">
      <c r="A12" s="154" t="s">
        <v>774</v>
      </c>
      <c r="B12" s="214">
        <f>'Football Field'!B16</f>
        <v>163.53406545069009</v>
      </c>
      <c r="C12" s="214">
        <f>'Football Field'!C16</f>
        <v>191.49616941781917</v>
      </c>
      <c r="D12" s="36">
        <f t="shared" si="0"/>
        <v>163.53406545069009</v>
      </c>
      <c r="E12" s="36">
        <f t="shared" si="1"/>
        <v>27.962103967129082</v>
      </c>
      <c r="F12" s="51">
        <v>210</v>
      </c>
      <c r="G12" s="22" t="s">
        <v>807</v>
      </c>
    </row>
    <row r="14" spans="1:7" ht="14.25" customHeight="1" x14ac:dyDescent="0.3">
      <c r="A14" t="s">
        <v>809</v>
      </c>
      <c r="B14" s="30">
        <f>B12</f>
        <v>163.53406545069009</v>
      </c>
      <c r="C14" s="30">
        <f>C12</f>
        <v>191.49616941781917</v>
      </c>
      <c r="D14" s="30">
        <f>B14</f>
        <v>163.53406545069009</v>
      </c>
      <c r="E14" s="30">
        <f>C14-B14</f>
        <v>27.962103967129082</v>
      </c>
    </row>
    <row r="15" spans="1:7" ht="14.25" customHeight="1" x14ac:dyDescent="0.3">
      <c r="A15" t="s">
        <v>810</v>
      </c>
      <c r="B15" s="30">
        <f>B9</f>
        <v>137</v>
      </c>
      <c r="C15" s="30">
        <f>C9</f>
        <v>220</v>
      </c>
      <c r="D15" s="30">
        <f>B15</f>
        <v>137</v>
      </c>
      <c r="E15" s="30">
        <f>C15-B15</f>
        <v>83</v>
      </c>
    </row>
    <row r="16" spans="1:7" ht="14.25" customHeight="1" x14ac:dyDescent="0.3">
      <c r="A16" t="s">
        <v>811</v>
      </c>
      <c r="B16" s="30">
        <f>B11</f>
        <v>187.1356783919598</v>
      </c>
      <c r="C16" s="30">
        <f>C11</f>
        <v>233.5678391959799</v>
      </c>
      <c r="D16" s="30">
        <f>B16</f>
        <v>187.1356783919598</v>
      </c>
      <c r="E16" s="30">
        <f>C16-B16</f>
        <v>46.4321608040201</v>
      </c>
    </row>
    <row r="17" spans="1:5" ht="14.25" customHeight="1" x14ac:dyDescent="0.3">
      <c r="A17" t="s">
        <v>812</v>
      </c>
      <c r="B17" s="30">
        <f>B10</f>
        <v>163.91959798994975</v>
      </c>
      <c r="C17" s="30">
        <f>C10</f>
        <v>233.5678391959799</v>
      </c>
      <c r="D17" s="30">
        <f>B17</f>
        <v>163.91959798994975</v>
      </c>
      <c r="E17" s="30">
        <f>C17-B17</f>
        <v>69.64824120603015</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72C4"/>
  </sheetPr>
  <dimension ref="A1:K66"/>
  <sheetViews>
    <sheetView topLeftCell="A51" zoomScale="70" zoomScaleNormal="70" workbookViewId="0">
      <selection activeCell="M10" sqref="M10"/>
    </sheetView>
  </sheetViews>
  <sheetFormatPr defaultColWidth="8.6640625" defaultRowHeight="14.4" x14ac:dyDescent="0.3"/>
  <cols>
    <col min="1" max="1" width="11.88671875" customWidth="1"/>
    <col min="2" max="2" width="38" customWidth="1"/>
    <col min="3" max="3" width="16.77734375" customWidth="1"/>
    <col min="4" max="4" width="14" customWidth="1"/>
    <col min="5" max="5" width="50" customWidth="1"/>
    <col min="6" max="6" width="28" customWidth="1"/>
    <col min="7" max="7" width="35" customWidth="1"/>
    <col min="8" max="11" width="20" customWidth="1"/>
  </cols>
  <sheetData>
    <row r="1" spans="1:11" ht="15.75" customHeight="1" x14ac:dyDescent="0.3">
      <c r="A1" s="278" t="s">
        <v>813</v>
      </c>
      <c r="B1" s="278"/>
      <c r="C1" s="278"/>
      <c r="D1" s="278"/>
      <c r="E1" s="278"/>
      <c r="F1" s="278"/>
      <c r="G1" s="278"/>
    </row>
    <row r="2" spans="1:11" ht="36" customHeight="1" x14ac:dyDescent="0.3">
      <c r="A2" s="284" t="s">
        <v>814</v>
      </c>
      <c r="B2" s="284"/>
      <c r="C2" s="284"/>
      <c r="D2" s="284"/>
      <c r="E2" s="284"/>
      <c r="F2" s="284"/>
      <c r="G2" s="284"/>
    </row>
    <row r="4" spans="1:11" ht="24" customHeight="1" x14ac:dyDescent="0.3">
      <c r="A4" s="160" t="s">
        <v>815</v>
      </c>
      <c r="B4" s="160" t="s">
        <v>816</v>
      </c>
      <c r="C4" s="160" t="s">
        <v>527</v>
      </c>
      <c r="D4" s="160" t="s">
        <v>817</v>
      </c>
      <c r="E4" s="160" t="s">
        <v>818</v>
      </c>
      <c r="F4" s="160" t="s">
        <v>819</v>
      </c>
      <c r="G4" s="160" t="s">
        <v>820</v>
      </c>
      <c r="H4" s="255" t="s">
        <v>1063</v>
      </c>
      <c r="J4" s="262" t="s">
        <v>1068</v>
      </c>
    </row>
    <row r="5" spans="1:11" x14ac:dyDescent="0.3">
      <c r="J5" s="263" t="s">
        <v>1064</v>
      </c>
      <c r="K5" s="264" t="s">
        <v>1069</v>
      </c>
    </row>
    <row r="6" spans="1:11" ht="21.75" customHeight="1" x14ac:dyDescent="0.3">
      <c r="A6" s="283" t="s">
        <v>821</v>
      </c>
      <c r="B6" s="283"/>
      <c r="C6" s="283"/>
      <c r="D6" s="283"/>
      <c r="E6" s="283"/>
      <c r="F6" s="283"/>
      <c r="G6" s="283"/>
      <c r="J6" s="265" t="s">
        <v>1065</v>
      </c>
      <c r="K6" s="264" t="s">
        <v>1070</v>
      </c>
    </row>
    <row r="7" spans="1:11" ht="48" customHeight="1" x14ac:dyDescent="0.3">
      <c r="A7" s="161">
        <v>1</v>
      </c>
      <c r="B7" s="162" t="s">
        <v>822</v>
      </c>
      <c r="C7" s="162" t="s">
        <v>823</v>
      </c>
      <c r="D7" s="162" t="s">
        <v>824</v>
      </c>
      <c r="E7" s="163" t="s">
        <v>825</v>
      </c>
      <c r="F7" s="162" t="s">
        <v>826</v>
      </c>
      <c r="G7" s="162" t="s">
        <v>827</v>
      </c>
      <c r="H7" s="256" t="s">
        <v>1064</v>
      </c>
      <c r="J7" s="266" t="s">
        <v>1066</v>
      </c>
      <c r="K7" s="264" t="s">
        <v>1071</v>
      </c>
    </row>
    <row r="8" spans="1:11" ht="49.5" customHeight="1" x14ac:dyDescent="0.3">
      <c r="A8" s="161">
        <v>2</v>
      </c>
      <c r="B8" s="162" t="s">
        <v>828</v>
      </c>
      <c r="C8" s="162" t="s">
        <v>267</v>
      </c>
      <c r="D8" s="162" t="s">
        <v>829</v>
      </c>
      <c r="E8" s="163" t="s">
        <v>830</v>
      </c>
      <c r="F8" s="162" t="s">
        <v>831</v>
      </c>
      <c r="G8" s="162" t="s">
        <v>832</v>
      </c>
      <c r="H8" s="256" t="s">
        <v>1064</v>
      </c>
      <c r="J8" s="265" t="s">
        <v>1067</v>
      </c>
      <c r="K8" s="264" t="s">
        <v>1072</v>
      </c>
    </row>
    <row r="9" spans="1:11" ht="48" customHeight="1" x14ac:dyDescent="0.3">
      <c r="A9" s="161">
        <v>3</v>
      </c>
      <c r="B9" s="162" t="s">
        <v>833</v>
      </c>
      <c r="C9" s="162" t="s">
        <v>834</v>
      </c>
      <c r="D9" s="162" t="s">
        <v>835</v>
      </c>
      <c r="E9" s="163" t="s">
        <v>836</v>
      </c>
      <c r="F9" s="162" t="s">
        <v>837</v>
      </c>
      <c r="G9" s="162" t="s">
        <v>838</v>
      </c>
      <c r="H9" s="256" t="s">
        <v>1064</v>
      </c>
      <c r="J9" s="267" t="s">
        <v>249</v>
      </c>
      <c r="K9" s="264" t="s">
        <v>1073</v>
      </c>
    </row>
    <row r="10" spans="1:11" ht="37.5" customHeight="1" x14ac:dyDescent="0.3">
      <c r="A10" s="161">
        <v>4</v>
      </c>
      <c r="B10" s="162" t="s">
        <v>839</v>
      </c>
      <c r="C10" s="162" t="s">
        <v>840</v>
      </c>
      <c r="D10" s="162" t="s">
        <v>824</v>
      </c>
      <c r="E10" s="163" t="s">
        <v>825</v>
      </c>
      <c r="F10" s="162" t="s">
        <v>841</v>
      </c>
      <c r="G10" s="162" t="s">
        <v>842</v>
      </c>
      <c r="H10" s="257" t="s">
        <v>1064</v>
      </c>
    </row>
    <row r="12" spans="1:11" ht="21.75" customHeight="1" x14ac:dyDescent="0.3">
      <c r="A12" s="283" t="s">
        <v>843</v>
      </c>
      <c r="B12" s="283"/>
      <c r="C12" s="283"/>
      <c r="D12" s="283"/>
      <c r="E12" s="283"/>
      <c r="F12" s="283"/>
      <c r="G12" s="283"/>
    </row>
    <row r="13" spans="1:11" ht="62.25" customHeight="1" x14ac:dyDescent="0.3">
      <c r="A13" s="161">
        <v>5</v>
      </c>
      <c r="B13" s="162" t="s">
        <v>844</v>
      </c>
      <c r="C13" s="162" t="s">
        <v>171</v>
      </c>
      <c r="D13" s="162" t="s">
        <v>845</v>
      </c>
      <c r="E13" s="163" t="s">
        <v>846</v>
      </c>
      <c r="F13" s="162" t="s">
        <v>847</v>
      </c>
      <c r="G13" s="162" t="s">
        <v>848</v>
      </c>
      <c r="H13" s="257" t="s">
        <v>1064</v>
      </c>
    </row>
    <row r="14" spans="1:11" ht="37.5" customHeight="1" x14ac:dyDescent="0.3">
      <c r="A14" s="161">
        <v>6</v>
      </c>
      <c r="B14" s="162" t="s">
        <v>849</v>
      </c>
      <c r="C14" s="162" t="s">
        <v>171</v>
      </c>
      <c r="D14" s="162" t="s">
        <v>850</v>
      </c>
      <c r="E14" s="163" t="s">
        <v>846</v>
      </c>
      <c r="F14" s="162" t="s">
        <v>851</v>
      </c>
      <c r="G14" s="162" t="s">
        <v>852</v>
      </c>
      <c r="H14" s="257" t="s">
        <v>1064</v>
      </c>
    </row>
    <row r="15" spans="1:11" ht="37.5" customHeight="1" x14ac:dyDescent="0.3">
      <c r="A15" s="161">
        <v>7</v>
      </c>
      <c r="B15" s="162" t="s">
        <v>853</v>
      </c>
      <c r="C15" s="162" t="s">
        <v>854</v>
      </c>
      <c r="D15" s="162" t="s">
        <v>855</v>
      </c>
      <c r="E15" s="163" t="s">
        <v>856</v>
      </c>
      <c r="F15" s="162" t="s">
        <v>857</v>
      </c>
      <c r="G15" s="162" t="s">
        <v>858</v>
      </c>
      <c r="H15" s="257" t="s">
        <v>1064</v>
      </c>
    </row>
    <row r="16" spans="1:11" ht="24.75" customHeight="1" x14ac:dyDescent="0.3">
      <c r="A16" s="161">
        <v>8</v>
      </c>
      <c r="B16" s="162" t="s">
        <v>859</v>
      </c>
      <c r="C16" s="162" t="s">
        <v>860</v>
      </c>
      <c r="D16" s="162" t="s">
        <v>845</v>
      </c>
      <c r="E16" s="163" t="s">
        <v>861</v>
      </c>
      <c r="F16" s="162" t="s">
        <v>851</v>
      </c>
      <c r="G16" s="162" t="s">
        <v>862</v>
      </c>
      <c r="H16" s="257" t="s">
        <v>1064</v>
      </c>
    </row>
    <row r="18" spans="1:8" ht="21.75" customHeight="1" x14ac:dyDescent="0.3">
      <c r="A18" s="283" t="s">
        <v>863</v>
      </c>
      <c r="B18" s="283"/>
      <c r="C18" s="283"/>
      <c r="D18" s="283"/>
      <c r="E18" s="283"/>
      <c r="F18" s="283"/>
      <c r="G18" s="283"/>
    </row>
    <row r="19" spans="1:8" ht="48" customHeight="1" x14ac:dyDescent="0.3">
      <c r="A19" s="161">
        <v>9</v>
      </c>
      <c r="B19" s="162" t="s">
        <v>864</v>
      </c>
      <c r="C19" s="162" t="s">
        <v>865</v>
      </c>
      <c r="D19" s="162" t="s">
        <v>866</v>
      </c>
      <c r="E19" s="162" t="s">
        <v>867</v>
      </c>
      <c r="F19" s="162" t="s">
        <v>868</v>
      </c>
      <c r="G19" s="162" t="s">
        <v>869</v>
      </c>
      <c r="H19" s="257" t="s">
        <v>1064</v>
      </c>
    </row>
    <row r="20" spans="1:8" ht="49.5" customHeight="1" x14ac:dyDescent="0.3">
      <c r="A20" s="161">
        <v>10</v>
      </c>
      <c r="B20" s="162" t="s">
        <v>870</v>
      </c>
      <c r="C20" s="162" t="s">
        <v>274</v>
      </c>
      <c r="D20" s="162" t="s">
        <v>866</v>
      </c>
      <c r="E20" s="163" t="s">
        <v>830</v>
      </c>
      <c r="F20" s="162" t="s">
        <v>871</v>
      </c>
      <c r="G20" s="162" t="s">
        <v>872</v>
      </c>
      <c r="H20" s="258" t="s">
        <v>1065</v>
      </c>
    </row>
    <row r="21" spans="1:8" ht="49.5" customHeight="1" x14ac:dyDescent="0.3">
      <c r="A21" s="161">
        <v>11</v>
      </c>
      <c r="B21" s="162" t="s">
        <v>873</v>
      </c>
      <c r="C21" s="162" t="s">
        <v>834</v>
      </c>
      <c r="D21" s="162" t="s">
        <v>835</v>
      </c>
      <c r="E21" s="163" t="s">
        <v>836</v>
      </c>
      <c r="F21" s="162" t="s">
        <v>874</v>
      </c>
      <c r="G21" s="162" t="s">
        <v>875</v>
      </c>
      <c r="H21" s="256" t="s">
        <v>1064</v>
      </c>
    </row>
    <row r="22" spans="1:8" ht="48" customHeight="1" x14ac:dyDescent="0.3">
      <c r="A22" s="161">
        <v>12</v>
      </c>
      <c r="B22" s="162" t="s">
        <v>876</v>
      </c>
      <c r="C22" s="162" t="s">
        <v>877</v>
      </c>
      <c r="D22" s="162" t="s">
        <v>835</v>
      </c>
      <c r="E22" s="163" t="s">
        <v>836</v>
      </c>
      <c r="F22" s="162" t="s">
        <v>878</v>
      </c>
      <c r="G22" s="162" t="s">
        <v>879</v>
      </c>
      <c r="H22" s="256" t="s">
        <v>1064</v>
      </c>
    </row>
    <row r="24" spans="1:8" ht="21.75" customHeight="1" x14ac:dyDescent="0.3">
      <c r="A24" s="283" t="s">
        <v>880</v>
      </c>
      <c r="B24" s="283"/>
      <c r="C24" s="283"/>
      <c r="D24" s="283"/>
      <c r="E24" s="283"/>
      <c r="F24" s="283"/>
      <c r="G24" s="283"/>
    </row>
    <row r="25" spans="1:8" ht="49.5" customHeight="1" x14ac:dyDescent="0.3">
      <c r="A25" s="161">
        <v>13</v>
      </c>
      <c r="B25" s="162" t="s">
        <v>881</v>
      </c>
      <c r="C25" s="162" t="s">
        <v>882</v>
      </c>
      <c r="D25" s="162" t="s">
        <v>883</v>
      </c>
      <c r="E25" s="162" t="s">
        <v>884</v>
      </c>
      <c r="F25" s="162" t="s">
        <v>885</v>
      </c>
      <c r="G25" s="162" t="s">
        <v>886</v>
      </c>
      <c r="H25" s="259" t="s">
        <v>1066</v>
      </c>
    </row>
    <row r="26" spans="1:8" ht="37.5" customHeight="1" x14ac:dyDescent="0.3">
      <c r="A26" s="161">
        <v>14</v>
      </c>
      <c r="B26" s="162" t="s">
        <v>887</v>
      </c>
      <c r="C26" s="162" t="s">
        <v>171</v>
      </c>
      <c r="D26" s="162" t="s">
        <v>845</v>
      </c>
      <c r="E26" s="163" t="s">
        <v>888</v>
      </c>
      <c r="F26" s="162" t="s">
        <v>885</v>
      </c>
      <c r="G26" s="162" t="s">
        <v>889</v>
      </c>
      <c r="H26" s="256" t="s">
        <v>1064</v>
      </c>
    </row>
    <row r="27" spans="1:8" ht="24.75" customHeight="1" x14ac:dyDescent="0.3">
      <c r="A27" s="161">
        <v>15</v>
      </c>
      <c r="B27" s="162" t="s">
        <v>890</v>
      </c>
      <c r="C27" s="162" t="s">
        <v>891</v>
      </c>
      <c r="D27" s="162" t="s">
        <v>892</v>
      </c>
      <c r="E27" s="163" t="s">
        <v>893</v>
      </c>
      <c r="F27" s="162" t="s">
        <v>885</v>
      </c>
      <c r="G27" s="162" t="s">
        <v>894</v>
      </c>
      <c r="H27" s="256" t="s">
        <v>1064</v>
      </c>
    </row>
    <row r="28" spans="1:8" ht="48" customHeight="1" x14ac:dyDescent="0.3">
      <c r="A28" s="161">
        <v>16</v>
      </c>
      <c r="B28" s="162" t="s">
        <v>895</v>
      </c>
      <c r="C28" s="162" t="s">
        <v>171</v>
      </c>
      <c r="D28" s="162" t="s">
        <v>896</v>
      </c>
      <c r="E28" s="163" t="s">
        <v>897</v>
      </c>
      <c r="F28" s="162" t="s">
        <v>885</v>
      </c>
      <c r="G28" s="162" t="s">
        <v>898</v>
      </c>
      <c r="H28" s="256" t="s">
        <v>1064</v>
      </c>
    </row>
    <row r="30" spans="1:8" ht="21.75" customHeight="1" x14ac:dyDescent="0.3">
      <c r="A30" s="283" t="s">
        <v>899</v>
      </c>
      <c r="B30" s="283"/>
      <c r="C30" s="283"/>
      <c r="D30" s="283"/>
      <c r="E30" s="283"/>
      <c r="F30" s="283"/>
      <c r="G30" s="283"/>
    </row>
    <row r="31" spans="1:8" ht="37.5" customHeight="1" x14ac:dyDescent="0.3">
      <c r="A31" s="161">
        <v>17</v>
      </c>
      <c r="B31" s="162" t="s">
        <v>900</v>
      </c>
      <c r="C31" s="162" t="s">
        <v>901</v>
      </c>
      <c r="D31" s="162" t="s">
        <v>532</v>
      </c>
      <c r="E31" s="163" t="s">
        <v>902</v>
      </c>
      <c r="F31" s="162" t="s">
        <v>903</v>
      </c>
      <c r="G31" s="162" t="s">
        <v>904</v>
      </c>
      <c r="H31" s="257" t="s">
        <v>1064</v>
      </c>
    </row>
    <row r="32" spans="1:8" ht="49.5" customHeight="1" x14ac:dyDescent="0.3">
      <c r="A32" s="161">
        <v>18</v>
      </c>
      <c r="B32" s="162" t="s">
        <v>905</v>
      </c>
      <c r="C32" s="162" t="s">
        <v>901</v>
      </c>
      <c r="D32" s="162" t="s">
        <v>536</v>
      </c>
      <c r="E32" s="163" t="s">
        <v>906</v>
      </c>
      <c r="F32" s="162" t="s">
        <v>903</v>
      </c>
      <c r="G32" s="162" t="s">
        <v>907</v>
      </c>
      <c r="H32" s="257" t="s">
        <v>1064</v>
      </c>
    </row>
    <row r="33" spans="1:8" ht="37.5" customHeight="1" x14ac:dyDescent="0.3">
      <c r="A33" s="161">
        <v>19</v>
      </c>
      <c r="B33" s="162" t="s">
        <v>908</v>
      </c>
      <c r="C33" s="162" t="s">
        <v>901</v>
      </c>
      <c r="D33" s="162" t="s">
        <v>542</v>
      </c>
      <c r="E33" s="163" t="s">
        <v>909</v>
      </c>
      <c r="F33" s="162" t="s">
        <v>903</v>
      </c>
      <c r="G33" s="162" t="s">
        <v>910</v>
      </c>
      <c r="H33" s="257" t="s">
        <v>1064</v>
      </c>
    </row>
    <row r="34" spans="1:8" ht="37.5" customHeight="1" x14ac:dyDescent="0.3">
      <c r="A34" s="161">
        <v>20</v>
      </c>
      <c r="B34" s="162" t="s">
        <v>911</v>
      </c>
      <c r="C34" s="162" t="s">
        <v>912</v>
      </c>
      <c r="D34" s="162" t="s">
        <v>552</v>
      </c>
      <c r="E34" s="163" t="s">
        <v>913</v>
      </c>
      <c r="F34" s="162" t="s">
        <v>903</v>
      </c>
      <c r="G34" s="162" t="s">
        <v>914</v>
      </c>
      <c r="H34" s="257" t="s">
        <v>1064</v>
      </c>
    </row>
    <row r="35" spans="1:8" ht="37.5" customHeight="1" x14ac:dyDescent="0.3">
      <c r="A35" s="161">
        <v>21</v>
      </c>
      <c r="B35" s="162" t="s">
        <v>915</v>
      </c>
      <c r="C35" s="162" t="s">
        <v>860</v>
      </c>
      <c r="D35" s="162" t="s">
        <v>538</v>
      </c>
      <c r="E35" s="163" t="s">
        <v>916</v>
      </c>
      <c r="F35" s="162" t="s">
        <v>903</v>
      </c>
      <c r="G35" s="162" t="s">
        <v>917</v>
      </c>
      <c r="H35" s="258" t="s">
        <v>1065</v>
      </c>
    </row>
    <row r="36" spans="1:8" ht="48" customHeight="1" x14ac:dyDescent="0.3">
      <c r="A36" s="161">
        <v>22</v>
      </c>
      <c r="B36" s="162" t="s">
        <v>918</v>
      </c>
      <c r="C36" s="162" t="s">
        <v>860</v>
      </c>
      <c r="D36" s="162" t="s">
        <v>919</v>
      </c>
      <c r="E36" s="163" t="s">
        <v>920</v>
      </c>
      <c r="F36" s="162" t="s">
        <v>903</v>
      </c>
      <c r="G36" s="162" t="s">
        <v>921</v>
      </c>
      <c r="H36" s="258" t="s">
        <v>1065</v>
      </c>
    </row>
    <row r="37" spans="1:8" ht="48" customHeight="1" x14ac:dyDescent="0.3">
      <c r="A37" s="161">
        <v>23</v>
      </c>
      <c r="B37" s="162" t="s">
        <v>922</v>
      </c>
      <c r="C37" s="162" t="s">
        <v>860</v>
      </c>
      <c r="D37" s="162" t="s">
        <v>545</v>
      </c>
      <c r="E37" s="163" t="s">
        <v>923</v>
      </c>
      <c r="F37" s="162" t="s">
        <v>903</v>
      </c>
      <c r="G37" s="162" t="s">
        <v>924</v>
      </c>
      <c r="H37" s="258" t="s">
        <v>1065</v>
      </c>
    </row>
    <row r="38" spans="1:8" ht="48" customHeight="1" x14ac:dyDescent="0.3">
      <c r="A38" s="161">
        <v>24</v>
      </c>
      <c r="B38" s="162" t="s">
        <v>925</v>
      </c>
      <c r="C38" s="162" t="s">
        <v>901</v>
      </c>
      <c r="D38" s="162" t="s">
        <v>926</v>
      </c>
      <c r="E38" s="163" t="s">
        <v>927</v>
      </c>
      <c r="F38" s="162" t="s">
        <v>903</v>
      </c>
      <c r="G38" s="162" t="s">
        <v>928</v>
      </c>
      <c r="H38" s="258" t="s">
        <v>1065</v>
      </c>
    </row>
    <row r="40" spans="1:8" ht="21.75" customHeight="1" x14ac:dyDescent="0.3">
      <c r="A40" s="283" t="s">
        <v>929</v>
      </c>
      <c r="B40" s="283"/>
      <c r="C40" s="283"/>
      <c r="D40" s="283"/>
      <c r="E40" s="283"/>
      <c r="F40" s="283"/>
      <c r="G40" s="283"/>
    </row>
    <row r="41" spans="1:8" ht="49.5" customHeight="1" x14ac:dyDescent="0.3">
      <c r="A41" s="161">
        <v>25</v>
      </c>
      <c r="B41" s="162" t="s">
        <v>930</v>
      </c>
      <c r="C41" s="162" t="s">
        <v>931</v>
      </c>
      <c r="D41" s="162" t="s">
        <v>932</v>
      </c>
      <c r="E41" s="162" t="s">
        <v>933</v>
      </c>
      <c r="F41" s="162" t="s">
        <v>934</v>
      </c>
      <c r="G41" s="162" t="s">
        <v>935</v>
      </c>
      <c r="H41" s="260" t="s">
        <v>1066</v>
      </c>
    </row>
    <row r="42" spans="1:8" ht="37.5" customHeight="1" x14ac:dyDescent="0.3">
      <c r="A42" s="161">
        <v>26</v>
      </c>
      <c r="B42" s="162" t="s">
        <v>936</v>
      </c>
      <c r="C42" s="162" t="s">
        <v>937</v>
      </c>
      <c r="D42" s="162" t="s">
        <v>938</v>
      </c>
      <c r="E42" s="163" t="s">
        <v>939</v>
      </c>
      <c r="F42" s="162" t="s">
        <v>940</v>
      </c>
      <c r="G42" s="162" t="s">
        <v>941</v>
      </c>
      <c r="H42" s="256" t="s">
        <v>1064</v>
      </c>
    </row>
    <row r="43" spans="1:8" ht="37.5" customHeight="1" x14ac:dyDescent="0.3">
      <c r="A43" s="161">
        <v>27</v>
      </c>
      <c r="B43" s="162" t="s">
        <v>942</v>
      </c>
      <c r="C43" s="162" t="s">
        <v>931</v>
      </c>
      <c r="D43" s="162" t="s">
        <v>943</v>
      </c>
      <c r="E43" s="163" t="s">
        <v>944</v>
      </c>
      <c r="F43" s="162" t="s">
        <v>934</v>
      </c>
      <c r="G43" s="162" t="s">
        <v>945</v>
      </c>
      <c r="H43" s="259" t="s">
        <v>1066</v>
      </c>
    </row>
    <row r="44" spans="1:8" ht="49.5" customHeight="1" x14ac:dyDescent="0.3">
      <c r="A44" s="161">
        <v>28</v>
      </c>
      <c r="B44" s="162" t="s">
        <v>946</v>
      </c>
      <c r="C44" s="162" t="s">
        <v>947</v>
      </c>
      <c r="D44" s="162" t="s">
        <v>948</v>
      </c>
      <c r="E44" s="162" t="s">
        <v>949</v>
      </c>
      <c r="F44" s="162" t="s">
        <v>950</v>
      </c>
      <c r="G44" s="162" t="s">
        <v>951</v>
      </c>
      <c r="H44" s="259" t="s">
        <v>1066</v>
      </c>
    </row>
    <row r="46" spans="1:8" x14ac:dyDescent="0.3">
      <c r="A46" s="283" t="s">
        <v>952</v>
      </c>
      <c r="B46" s="283"/>
      <c r="C46" s="283"/>
      <c r="D46" s="283"/>
      <c r="E46" s="283"/>
      <c r="F46" s="283"/>
      <c r="G46" s="283"/>
    </row>
    <row r="47" spans="1:8" ht="37.5" customHeight="1" x14ac:dyDescent="0.3">
      <c r="A47" s="161">
        <v>29</v>
      </c>
      <c r="B47" s="162" t="s">
        <v>953</v>
      </c>
      <c r="C47" s="162" t="s">
        <v>954</v>
      </c>
      <c r="D47" s="162" t="s">
        <v>955</v>
      </c>
      <c r="E47" s="162" t="s">
        <v>956</v>
      </c>
      <c r="F47" s="162" t="s">
        <v>957</v>
      </c>
      <c r="G47" s="162" t="s">
        <v>958</v>
      </c>
      <c r="H47" s="259" t="s">
        <v>1066</v>
      </c>
    </row>
    <row r="48" spans="1:8" ht="62.25" customHeight="1" x14ac:dyDescent="0.3">
      <c r="A48" s="161">
        <v>30</v>
      </c>
      <c r="B48" s="162" t="s">
        <v>959</v>
      </c>
      <c r="C48" s="162" t="s">
        <v>960</v>
      </c>
      <c r="D48" s="162" t="s">
        <v>961</v>
      </c>
      <c r="E48" s="162" t="s">
        <v>962</v>
      </c>
      <c r="F48" s="162" t="s">
        <v>963</v>
      </c>
      <c r="G48" s="162" t="s">
        <v>964</v>
      </c>
      <c r="H48" s="260" t="s">
        <v>1066</v>
      </c>
    </row>
    <row r="50" spans="1:8" ht="21.75" customHeight="1" x14ac:dyDescent="0.3">
      <c r="A50" s="283" t="s">
        <v>965</v>
      </c>
      <c r="B50" s="283"/>
      <c r="C50" s="283"/>
      <c r="D50" s="283"/>
      <c r="E50" s="283"/>
      <c r="F50" s="283"/>
      <c r="G50" s="283"/>
    </row>
    <row r="51" spans="1:8" ht="24.75" customHeight="1" x14ac:dyDescent="0.3">
      <c r="A51" s="161">
        <v>31</v>
      </c>
      <c r="B51" s="162" t="s">
        <v>966</v>
      </c>
      <c r="C51" s="162" t="s">
        <v>967</v>
      </c>
      <c r="D51" s="162" t="s">
        <v>968</v>
      </c>
      <c r="E51" s="162" t="s">
        <v>969</v>
      </c>
      <c r="F51" s="162" t="s">
        <v>826</v>
      </c>
      <c r="G51" s="162" t="s">
        <v>970</v>
      </c>
      <c r="H51" s="256" t="s">
        <v>1064</v>
      </c>
    </row>
    <row r="52" spans="1:8" ht="24.75" customHeight="1" x14ac:dyDescent="0.3">
      <c r="A52" s="161">
        <v>32</v>
      </c>
      <c r="B52" s="162" t="s">
        <v>971</v>
      </c>
      <c r="C52" s="162" t="s">
        <v>823</v>
      </c>
      <c r="D52" s="162" t="s">
        <v>972</v>
      </c>
      <c r="E52" s="163" t="s">
        <v>825</v>
      </c>
      <c r="F52" s="162" t="s">
        <v>826</v>
      </c>
      <c r="G52" s="162" t="s">
        <v>973</v>
      </c>
      <c r="H52" s="256" t="s">
        <v>1064</v>
      </c>
    </row>
    <row r="53" spans="1:8" ht="37.5" customHeight="1" x14ac:dyDescent="0.3">
      <c r="A53" s="161">
        <v>33</v>
      </c>
      <c r="B53" s="162" t="s">
        <v>974</v>
      </c>
      <c r="C53" s="162" t="s">
        <v>975</v>
      </c>
      <c r="D53" s="162" t="s">
        <v>976</v>
      </c>
      <c r="E53" s="162" t="s">
        <v>977</v>
      </c>
      <c r="F53" s="162" t="s">
        <v>826</v>
      </c>
      <c r="G53" s="162" t="s">
        <v>978</v>
      </c>
      <c r="H53" s="256" t="s">
        <v>1064</v>
      </c>
    </row>
    <row r="55" spans="1:8" ht="21.75" customHeight="1" x14ac:dyDescent="0.3">
      <c r="A55" s="283" t="s">
        <v>979</v>
      </c>
      <c r="B55" s="283"/>
      <c r="C55" s="283"/>
      <c r="D55" s="283"/>
      <c r="E55" s="283"/>
      <c r="F55" s="283"/>
      <c r="G55" s="283"/>
    </row>
    <row r="56" spans="1:8" ht="37.5" customHeight="1" x14ac:dyDescent="0.3">
      <c r="A56" s="161">
        <v>34</v>
      </c>
      <c r="B56" s="162" t="s">
        <v>980</v>
      </c>
      <c r="C56" s="162" t="s">
        <v>981</v>
      </c>
      <c r="D56" s="162" t="s">
        <v>982</v>
      </c>
      <c r="E56" s="163" t="s">
        <v>983</v>
      </c>
      <c r="F56" s="162" t="s">
        <v>871</v>
      </c>
      <c r="G56" s="162" t="s">
        <v>984</v>
      </c>
      <c r="H56" s="258" t="s">
        <v>1067</v>
      </c>
    </row>
    <row r="57" spans="1:8" ht="49.5" customHeight="1" x14ac:dyDescent="0.3">
      <c r="A57" s="161">
        <v>35</v>
      </c>
      <c r="B57" s="162" t="s">
        <v>985</v>
      </c>
      <c r="C57" s="162" t="s">
        <v>986</v>
      </c>
      <c r="D57" s="162" t="s">
        <v>987</v>
      </c>
      <c r="E57" s="162" t="s">
        <v>988</v>
      </c>
      <c r="F57" s="162" t="s">
        <v>989</v>
      </c>
      <c r="G57" s="162" t="s">
        <v>990</v>
      </c>
      <c r="H57" s="261" t="s">
        <v>1067</v>
      </c>
    </row>
    <row r="58" spans="1:8" ht="37.5" customHeight="1" x14ac:dyDescent="0.3">
      <c r="A58" s="161">
        <v>36</v>
      </c>
      <c r="B58" s="162" t="s">
        <v>991</v>
      </c>
      <c r="C58" s="162" t="s">
        <v>986</v>
      </c>
      <c r="D58" s="162" t="s">
        <v>992</v>
      </c>
      <c r="E58" s="162" t="s">
        <v>988</v>
      </c>
      <c r="F58" s="162" t="s">
        <v>993</v>
      </c>
      <c r="G58" s="162" t="s">
        <v>994</v>
      </c>
      <c r="H58" s="261" t="s">
        <v>1067</v>
      </c>
    </row>
    <row r="61" spans="1:8" ht="21.75" customHeight="1" x14ac:dyDescent="0.3">
      <c r="A61" s="273" t="s">
        <v>995</v>
      </c>
      <c r="B61" s="273"/>
      <c r="C61" s="273"/>
      <c r="D61" s="273"/>
      <c r="E61" s="273"/>
      <c r="F61" s="273"/>
      <c r="G61" s="273"/>
    </row>
    <row r="62" spans="1:8" ht="25.5" customHeight="1" x14ac:dyDescent="0.3">
      <c r="A62" s="164" t="s">
        <v>996</v>
      </c>
      <c r="B62" s="282" t="s">
        <v>997</v>
      </c>
      <c r="C62" s="282"/>
      <c r="D62" s="282"/>
      <c r="E62" s="282"/>
      <c r="F62" s="282"/>
      <c r="G62" s="282"/>
    </row>
    <row r="63" spans="1:8" ht="39" customHeight="1" x14ac:dyDescent="0.3">
      <c r="A63" s="164" t="s">
        <v>998</v>
      </c>
      <c r="B63" s="282" t="s">
        <v>999</v>
      </c>
      <c r="C63" s="282"/>
      <c r="D63" s="282"/>
      <c r="E63" s="282"/>
      <c r="F63" s="282"/>
      <c r="G63" s="282"/>
    </row>
    <row r="64" spans="1:8" ht="25.5" customHeight="1" x14ac:dyDescent="0.3">
      <c r="A64" s="164" t="s">
        <v>1000</v>
      </c>
      <c r="B64" s="282" t="s">
        <v>1001</v>
      </c>
      <c r="C64" s="282"/>
      <c r="D64" s="282"/>
      <c r="E64" s="282"/>
      <c r="F64" s="282"/>
      <c r="G64" s="282"/>
    </row>
    <row r="65" spans="1:7" ht="25.5" customHeight="1" x14ac:dyDescent="0.3">
      <c r="A65" s="164" t="s">
        <v>1002</v>
      </c>
      <c r="B65" s="282" t="s">
        <v>1003</v>
      </c>
      <c r="C65" s="282"/>
      <c r="D65" s="282"/>
      <c r="E65" s="282"/>
      <c r="F65" s="282"/>
      <c r="G65" s="282"/>
    </row>
    <row r="66" spans="1:7" ht="49.5" customHeight="1" x14ac:dyDescent="0.3">
      <c r="A66" s="164" t="s">
        <v>1004</v>
      </c>
      <c r="B66" s="282" t="s">
        <v>1005</v>
      </c>
      <c r="C66" s="282"/>
      <c r="D66" s="282"/>
      <c r="E66" s="282"/>
      <c r="F66" s="282"/>
      <c r="G66" s="282"/>
    </row>
  </sheetData>
  <mergeCells count="17">
    <mergeCell ref="A1:G1"/>
    <mergeCell ref="A2:G2"/>
    <mergeCell ref="A6:G6"/>
    <mergeCell ref="A12:G12"/>
    <mergeCell ref="A18:G18"/>
    <mergeCell ref="A24:G24"/>
    <mergeCell ref="A30:G30"/>
    <mergeCell ref="A40:G40"/>
    <mergeCell ref="A46:G46"/>
    <mergeCell ref="A50:G50"/>
    <mergeCell ref="B65:G65"/>
    <mergeCell ref="B66:G66"/>
    <mergeCell ref="A55:G55"/>
    <mergeCell ref="A61:G61"/>
    <mergeCell ref="B62:G62"/>
    <mergeCell ref="B63:G63"/>
    <mergeCell ref="B64:G64"/>
  </mergeCells>
  <hyperlinks>
    <hyperlink ref="E7" r:id="rId1" xr:uid="{00000000-0004-0000-0B00-000000000000}"/>
    <hyperlink ref="E8" r:id="rId2" xr:uid="{00000000-0004-0000-0B00-000001000000}"/>
    <hyperlink ref="E9" r:id="rId3" xr:uid="{00000000-0004-0000-0B00-000002000000}"/>
    <hyperlink ref="E10" r:id="rId4" xr:uid="{00000000-0004-0000-0B00-000003000000}"/>
    <hyperlink ref="E13" r:id="rId5" xr:uid="{00000000-0004-0000-0B00-000004000000}"/>
    <hyperlink ref="E14" r:id="rId6" xr:uid="{00000000-0004-0000-0B00-000005000000}"/>
    <hyperlink ref="E15" r:id="rId7" xr:uid="{00000000-0004-0000-0B00-000006000000}"/>
    <hyperlink ref="E16" r:id="rId8" xr:uid="{00000000-0004-0000-0B00-000007000000}"/>
    <hyperlink ref="E20" r:id="rId9" xr:uid="{00000000-0004-0000-0B00-000008000000}"/>
    <hyperlink ref="E21" r:id="rId10" xr:uid="{00000000-0004-0000-0B00-000009000000}"/>
    <hyperlink ref="E22" r:id="rId11" xr:uid="{00000000-0004-0000-0B00-00000A000000}"/>
    <hyperlink ref="E26" r:id="rId12" xr:uid="{00000000-0004-0000-0B00-00000B000000}"/>
    <hyperlink ref="E27" r:id="rId13" xr:uid="{00000000-0004-0000-0B00-00000C000000}"/>
    <hyperlink ref="E28" r:id="rId14" xr:uid="{00000000-0004-0000-0B00-00000D000000}"/>
    <hyperlink ref="E31" r:id="rId15" xr:uid="{00000000-0004-0000-0B00-00000E000000}"/>
    <hyperlink ref="E32" r:id="rId16" xr:uid="{00000000-0004-0000-0B00-00000F000000}"/>
    <hyperlink ref="E33" r:id="rId17" xr:uid="{00000000-0004-0000-0B00-000010000000}"/>
    <hyperlink ref="E34" r:id="rId18" xr:uid="{00000000-0004-0000-0B00-000011000000}"/>
    <hyperlink ref="E35" r:id="rId19" xr:uid="{00000000-0004-0000-0B00-000012000000}"/>
    <hyperlink ref="E36" r:id="rId20" xr:uid="{00000000-0004-0000-0B00-000013000000}"/>
    <hyperlink ref="E37" r:id="rId21" xr:uid="{00000000-0004-0000-0B00-000014000000}"/>
    <hyperlink ref="E38" r:id="rId22" xr:uid="{00000000-0004-0000-0B00-000015000000}"/>
    <hyperlink ref="E42" r:id="rId23" xr:uid="{00000000-0004-0000-0B00-000016000000}"/>
    <hyperlink ref="E43" r:id="rId24" xr:uid="{00000000-0004-0000-0B00-000017000000}"/>
    <hyperlink ref="E52" r:id="rId25" xr:uid="{00000000-0004-0000-0B00-000018000000}"/>
    <hyperlink ref="E56" r:id="rId26" xr:uid="{00000000-0004-0000-0B00-000019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 ME</vt:lpstr>
      <vt:lpstr>Deal Summary</vt:lpstr>
      <vt:lpstr>EV Bridge</vt:lpstr>
      <vt:lpstr>EA Historicals</vt:lpstr>
      <vt:lpstr>DCF (Goldman Sachs)</vt:lpstr>
      <vt:lpstr>Future Share Price</vt:lpstr>
      <vt:lpstr>CCA</vt:lpstr>
      <vt:lpstr>PTA</vt:lpstr>
      <vt:lpstr>Premia Paid</vt:lpstr>
      <vt:lpstr>LBO Model</vt:lpstr>
      <vt:lpstr>Football Field</vt:lpstr>
      <vt:lpstr>Chart Data</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MASON BENNETT</dc:creator>
  <cp:lastModifiedBy>Mason Bennett</cp:lastModifiedBy>
  <dcterms:created xsi:type="dcterms:W3CDTF">2026-04-26T21:54:34Z</dcterms:created>
  <dcterms:modified xsi:type="dcterms:W3CDTF">2026-07-02T23:17:41Z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2026-04-12T21:51:36Z</dcterms:created>
  <dc:creator>openpyxl</dc:creator>
  <dc:description/>
  <dc:language>en-US</dc:language>
  <cp:lastModifiedBy>Mason Bennett</cp:lastModifiedBy>
  <dcterms:modified xsi:type="dcterms:W3CDTF">2026-04-26T03:44:53Z</dcterms:modified>
  <cp:revision>27</cp:revision>
  <dc:subject/>
  <dc:title/>
</cp:coreProperties>
</file>