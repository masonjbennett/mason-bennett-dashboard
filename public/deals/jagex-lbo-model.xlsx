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mason\AppData\Local\Temp\claude\C--Users-mason-Downloads-Masonjbennett-com-Website\f8804447-b151-4bab-94d7-7ff7e8a5176a\scratchpad\deals\"/>
    </mc:Choice>
  </mc:AlternateContent>
  <xr:revisionPtr revIDLastSave="0" documentId="13_ncr:1_{362D6F24-46D9-4D16-9611-91E1F4735A09}" xr6:coauthVersionLast="47" xr6:coauthVersionMax="47" xr10:uidLastSave="{00000000-0000-0000-0000-000000000000}"/>
  <bookViews>
    <workbookView xWindow="6096" yWindow="2100" windowWidth="11076" windowHeight="8880" tabRatio="500" xr2:uid="{00000000-000D-0000-FFFF-FFFF00000000}"/>
  </bookViews>
  <sheets>
    <sheet name="READ ME" sheetId="11" r:id="rId1"/>
    <sheet name="Summary" sheetId="1" r:id="rId2"/>
    <sheet name="Deal Summary" sheetId="2" r:id="rId3"/>
    <sheet name="EV Bridge" sheetId="3" r:id="rId4"/>
    <sheet name="Historicals" sheetId="4" r:id="rId5"/>
    <sheet name="CCA" sheetId="5" r:id="rId6"/>
    <sheet name="PTA" sheetId="6" r:id="rId7"/>
    <sheet name="DCF" sheetId="7" r:id="rId8"/>
    <sheet name="LBO Model" sheetId="8" r:id="rId9"/>
    <sheet name="Football Field" sheetId="9" r:id="rId10"/>
    <sheet name="Source Log" sheetId="10" r:id="rId11"/>
  </sheets>
  <definedNames>
    <definedName name="_xlnm.Print_Area" localSheetId="1">Summary!$A$1:$G$70</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2" i="9" l="1"/>
  <c r="D22" i="9"/>
  <c r="E21" i="9"/>
  <c r="D21" i="9"/>
  <c r="E20" i="9"/>
  <c r="D20" i="9"/>
  <c r="E19" i="9"/>
  <c r="D19" i="9"/>
  <c r="C9" i="9"/>
  <c r="D34" i="1" s="1"/>
  <c r="B9" i="9"/>
  <c r="D8" i="9"/>
  <c r="C36" i="1" s="1"/>
  <c r="D7" i="9"/>
  <c r="D6" i="9"/>
  <c r="D5" i="9"/>
  <c r="D125" i="8"/>
  <c r="D127" i="8" s="1"/>
  <c r="C125" i="8"/>
  <c r="C127" i="8" s="1"/>
  <c r="E124" i="8"/>
  <c r="E125" i="8" s="1"/>
  <c r="E127" i="8" s="1"/>
  <c r="E128" i="8" s="1"/>
  <c r="D124" i="8"/>
  <c r="C124" i="8"/>
  <c r="C81" i="8"/>
  <c r="C82" i="8" s="1"/>
  <c r="C59" i="8"/>
  <c r="H57" i="8"/>
  <c r="G57" i="8"/>
  <c r="F57" i="8"/>
  <c r="E57" i="8"/>
  <c r="D57" i="8"/>
  <c r="C41" i="8"/>
  <c r="C40" i="8"/>
  <c r="D40" i="8" s="1"/>
  <c r="C34" i="8"/>
  <c r="C44" i="8" s="1"/>
  <c r="C45" i="8" s="1"/>
  <c r="C63" i="8" s="1"/>
  <c r="C23" i="8"/>
  <c r="C21" i="8"/>
  <c r="C142" i="8" s="1"/>
  <c r="F10" i="8"/>
  <c r="E10" i="8"/>
  <c r="D9" i="8"/>
  <c r="F8" i="8"/>
  <c r="D8" i="8"/>
  <c r="C8" i="8"/>
  <c r="C9" i="8" s="1"/>
  <c r="C141" i="8" s="1"/>
  <c r="F7" i="8"/>
  <c r="E7" i="8"/>
  <c r="F6" i="8"/>
  <c r="E6" i="8"/>
  <c r="C75" i="7"/>
  <c r="C71" i="7"/>
  <c r="C72" i="7" s="1"/>
  <c r="C73" i="7" s="1"/>
  <c r="C77" i="7" s="1"/>
  <c r="G31" i="7"/>
  <c r="F31" i="7"/>
  <c r="E31" i="7"/>
  <c r="D31" i="7"/>
  <c r="C31" i="7"/>
  <c r="C21" i="7"/>
  <c r="D72" i="6"/>
  <c r="C72" i="6"/>
  <c r="D71" i="6"/>
  <c r="C71" i="6"/>
  <c r="D70" i="6"/>
  <c r="C70" i="6"/>
  <c r="D69" i="6"/>
  <c r="C77" i="6" s="1"/>
  <c r="C69" i="6"/>
  <c r="D68" i="6"/>
  <c r="C68" i="6"/>
  <c r="C94" i="5"/>
  <c r="D73" i="5"/>
  <c r="E72" i="5"/>
  <c r="D72" i="5"/>
  <c r="C72" i="5"/>
  <c r="G71" i="5"/>
  <c r="F71" i="5"/>
  <c r="E71" i="5"/>
  <c r="D71" i="5"/>
  <c r="C71" i="5"/>
  <c r="G70" i="5"/>
  <c r="F70" i="5"/>
  <c r="F73" i="5" s="1"/>
  <c r="E70" i="5"/>
  <c r="E73" i="5" s="1"/>
  <c r="C95" i="5" s="1"/>
  <c r="D70" i="5"/>
  <c r="C70" i="5"/>
  <c r="G69" i="5"/>
  <c r="C78" i="5" s="1"/>
  <c r="F69" i="5"/>
  <c r="E69" i="5"/>
  <c r="D69" i="5"/>
  <c r="C69" i="5"/>
  <c r="C73" i="5" s="1"/>
  <c r="C53" i="5"/>
  <c r="B32" i="1" s="1"/>
  <c r="C52" i="5"/>
  <c r="C51" i="5"/>
  <c r="C164" i="4"/>
  <c r="E164" i="4" s="1"/>
  <c r="C162" i="4"/>
  <c r="E162" i="4" s="1"/>
  <c r="C160" i="4"/>
  <c r="E160" i="4" s="1"/>
  <c r="C152" i="4"/>
  <c r="C161" i="4" s="1"/>
  <c r="D161" i="4" s="1"/>
  <c r="C12" i="3"/>
  <c r="C15" i="3" s="1"/>
  <c r="D36" i="1"/>
  <c r="B36" i="1"/>
  <c r="D35" i="1"/>
  <c r="C35" i="1"/>
  <c r="B35" i="1"/>
  <c r="D33" i="1"/>
  <c r="C33" i="1"/>
  <c r="B33" i="1"/>
  <c r="D31" i="1"/>
  <c r="C31" i="1"/>
  <c r="B31" i="1"/>
  <c r="B34" i="1" l="1"/>
  <c r="D9" i="9"/>
  <c r="C34" i="1" s="1"/>
  <c r="D51" i="8"/>
  <c r="E40" i="8"/>
  <c r="D50" i="8"/>
  <c r="D42" i="8"/>
  <c r="D49" i="8" s="1"/>
  <c r="E161" i="4"/>
  <c r="D41" i="8"/>
  <c r="D43" i="8" s="1"/>
  <c r="C76" i="6"/>
  <c r="C75" i="6"/>
  <c r="C76" i="5"/>
  <c r="G73" i="5"/>
  <c r="F9" i="8"/>
  <c r="E9" i="8"/>
  <c r="C206" i="8"/>
  <c r="D162" i="4"/>
  <c r="D56" i="8"/>
  <c r="C61" i="8"/>
  <c r="C62" i="8" s="1"/>
  <c r="E129" i="8"/>
  <c r="E130" i="8"/>
  <c r="C28" i="7"/>
  <c r="C23" i="7"/>
  <c r="C27" i="7" s="1"/>
  <c r="C29" i="7"/>
  <c r="C22" i="7"/>
  <c r="D21" i="7"/>
  <c r="C163" i="4"/>
  <c r="C153" i="4"/>
  <c r="C156" i="4" s="1"/>
  <c r="C77" i="5"/>
  <c r="C79" i="5" s="1"/>
  <c r="C42" i="8"/>
  <c r="C49" i="8" s="1"/>
  <c r="C50" i="8"/>
  <c r="E8" i="8"/>
  <c r="D160" i="4"/>
  <c r="D164" i="4"/>
  <c r="E132" i="8" l="1"/>
  <c r="D19" i="1" s="1"/>
  <c r="E131" i="8"/>
  <c r="D85" i="5"/>
  <c r="C85" i="5"/>
  <c r="E85" i="5"/>
  <c r="D23" i="7"/>
  <c r="D27" i="7" s="1"/>
  <c r="D22" i="7"/>
  <c r="D29" i="7"/>
  <c r="D28" i="7"/>
  <c r="E21" i="7"/>
  <c r="E50" i="8"/>
  <c r="E42" i="8"/>
  <c r="E49" i="8" s="1"/>
  <c r="F40" i="8"/>
  <c r="E51" i="8"/>
  <c r="E41" i="8"/>
  <c r="E43" i="8" s="1"/>
  <c r="C24" i="7"/>
  <c r="D44" i="8"/>
  <c r="D45" i="8" s="1"/>
  <c r="D63" i="8" s="1"/>
  <c r="E163" i="4"/>
  <c r="D163" i="4"/>
  <c r="C209" i="8"/>
  <c r="D20" i="1" s="1"/>
  <c r="C210" i="8"/>
  <c r="C96" i="5"/>
  <c r="C97" i="5" s="1"/>
  <c r="C80" i="5"/>
  <c r="C81" i="5"/>
  <c r="C43" i="8"/>
  <c r="C46" i="8" s="1"/>
  <c r="C25" i="7" l="1"/>
  <c r="C26" i="7"/>
  <c r="C30" i="7" s="1"/>
  <c r="C47" i="8"/>
  <c r="C48" i="8"/>
  <c r="C52" i="8" s="1"/>
  <c r="E87" i="5"/>
  <c r="C87" i="5"/>
  <c r="D87" i="5"/>
  <c r="G40" i="8"/>
  <c r="F50" i="8"/>
  <c r="F42" i="8"/>
  <c r="F49" i="8" s="1"/>
  <c r="F51" i="8"/>
  <c r="F41" i="8"/>
  <c r="D17" i="1"/>
  <c r="D18" i="1"/>
  <c r="D32" i="1"/>
  <c r="C32" i="1"/>
  <c r="E22" i="7"/>
  <c r="E29" i="7"/>
  <c r="F21" i="7"/>
  <c r="E23" i="7"/>
  <c r="E27" i="7" s="1"/>
  <c r="E28" i="7"/>
  <c r="D24" i="7"/>
  <c r="C57" i="5"/>
  <c r="C58" i="5" s="1"/>
  <c r="C59" i="5" s="1"/>
  <c r="C61" i="5" s="1"/>
  <c r="D46" i="8"/>
  <c r="E86" i="5"/>
  <c r="D86" i="5"/>
  <c r="C86" i="5"/>
  <c r="F29" i="7" l="1"/>
  <c r="F22" i="7"/>
  <c r="G21" i="7"/>
  <c r="F23" i="7"/>
  <c r="F27" i="7" s="1"/>
  <c r="F28" i="7"/>
  <c r="H40" i="8"/>
  <c r="G50" i="8"/>
  <c r="G42" i="8"/>
  <c r="G49" i="8" s="1"/>
  <c r="G41" i="8"/>
  <c r="G51" i="8"/>
  <c r="E24" i="7"/>
  <c r="C32" i="7"/>
  <c r="F43" i="8"/>
  <c r="D25" i="7"/>
  <c r="D26" i="7" s="1"/>
  <c r="D30" i="7" s="1"/>
  <c r="D47" i="8"/>
  <c r="D48" i="8" s="1"/>
  <c r="D52" i="8" s="1"/>
  <c r="D58" i="8" s="1"/>
  <c r="D59" i="8" s="1"/>
  <c r="E56" i="8" l="1"/>
  <c r="D61" i="8"/>
  <c r="D62" i="8" s="1"/>
  <c r="D32" i="7"/>
  <c r="E25" i="7"/>
  <c r="E26" i="7"/>
  <c r="E30" i="7" s="1"/>
  <c r="E32" i="7" s="1"/>
  <c r="G43" i="8"/>
  <c r="F24" i="7"/>
  <c r="H50" i="8"/>
  <c r="H42" i="8"/>
  <c r="H49" i="8" s="1"/>
  <c r="H41" i="8"/>
  <c r="H51" i="8"/>
  <c r="G22" i="7"/>
  <c r="G24" i="7" s="1"/>
  <c r="G29" i="7"/>
  <c r="G28" i="7"/>
  <c r="G23" i="7"/>
  <c r="G27" i="7" s="1"/>
  <c r="G25" i="7" l="1"/>
  <c r="G26" i="7" s="1"/>
  <c r="G30" i="7" s="1"/>
  <c r="F25" i="7"/>
  <c r="F26" i="7" s="1"/>
  <c r="F30" i="7" s="1"/>
  <c r="C180" i="8"/>
  <c r="H43" i="8"/>
  <c r="C144" i="8"/>
  <c r="C143" i="8"/>
  <c r="C148" i="8" s="1"/>
  <c r="E44" i="8"/>
  <c r="E45" i="8" s="1"/>
  <c r="F32" i="7" l="1"/>
  <c r="F46" i="7"/>
  <c r="C49" i="7"/>
  <c r="G49" i="7"/>
  <c r="C48" i="7"/>
  <c r="F45" i="7"/>
  <c r="E46" i="7"/>
  <c r="E49" i="7"/>
  <c r="C47" i="7"/>
  <c r="D49" i="7"/>
  <c r="D47" i="7"/>
  <c r="E47" i="7"/>
  <c r="F48" i="7"/>
  <c r="F49" i="7"/>
  <c r="G46" i="7"/>
  <c r="D48" i="7"/>
  <c r="C46" i="7"/>
  <c r="D46" i="7"/>
  <c r="D45" i="7"/>
  <c r="C45" i="7"/>
  <c r="E45" i="7"/>
  <c r="E48" i="7"/>
  <c r="G47" i="7"/>
  <c r="G45" i="7"/>
  <c r="G48" i="7"/>
  <c r="F47" i="7"/>
  <c r="G32" i="7"/>
  <c r="C35" i="7"/>
  <c r="C36" i="7" s="1"/>
  <c r="B24" i="1"/>
  <c r="C149" i="8"/>
  <c r="E63" i="8"/>
  <c r="E46" i="8"/>
  <c r="C183" i="8"/>
  <c r="B25" i="1" l="1"/>
  <c r="E47" i="8"/>
  <c r="E48" i="8" s="1"/>
  <c r="E52" i="8" s="1"/>
  <c r="E58" i="8" s="1"/>
  <c r="E59" i="8" s="1"/>
  <c r="C37" i="7"/>
  <c r="C38" i="7" s="1"/>
  <c r="C40" i="7" l="1"/>
  <c r="C39" i="7"/>
  <c r="E61" i="8"/>
  <c r="E62" i="8" s="1"/>
  <c r="F56" i="8"/>
  <c r="F44" i="8" l="1"/>
  <c r="F45" i="8" s="1"/>
  <c r="F63" i="8" l="1"/>
  <c r="F46" i="8"/>
  <c r="F47" i="8" l="1"/>
  <c r="F48" i="8" s="1"/>
  <c r="F52" i="8" s="1"/>
  <c r="F58" i="8" s="1"/>
  <c r="F59" i="8" s="1"/>
  <c r="F61" i="8" l="1"/>
  <c r="G56" i="8"/>
  <c r="G44" i="8" l="1"/>
  <c r="G45" i="8" s="1"/>
  <c r="F62" i="8"/>
  <c r="C73" i="8"/>
  <c r="D73" i="8" s="1"/>
  <c r="C75" i="8"/>
  <c r="D75" i="8" s="1"/>
  <c r="C74" i="8"/>
  <c r="D74" i="8" s="1"/>
  <c r="C68" i="8"/>
  <c r="D68" i="8" s="1"/>
  <c r="C69" i="8"/>
  <c r="D69" i="8" s="1"/>
  <c r="C71" i="8"/>
  <c r="D71" i="8" s="1"/>
  <c r="C70" i="8"/>
  <c r="D70" i="8" s="1"/>
  <c r="C72" i="8"/>
  <c r="D72" i="8" s="1"/>
  <c r="G63" i="8" l="1"/>
  <c r="G46" i="8"/>
  <c r="G47" i="8" l="1"/>
  <c r="G48" i="8" s="1"/>
  <c r="G52" i="8" s="1"/>
  <c r="G58" i="8" s="1"/>
  <c r="G59" i="8" s="1"/>
  <c r="G61" i="8" l="1"/>
  <c r="H56" i="8"/>
  <c r="H44" i="8" l="1"/>
  <c r="H45" i="8" s="1"/>
  <c r="G62" i="8"/>
  <c r="E72" i="8"/>
  <c r="F72" i="8" s="1"/>
  <c r="E69" i="8"/>
  <c r="F69" i="8" s="1"/>
  <c r="E68" i="8"/>
  <c r="F68" i="8" s="1"/>
  <c r="E70" i="8"/>
  <c r="F70" i="8" s="1"/>
  <c r="E75" i="8"/>
  <c r="F75" i="8" s="1"/>
  <c r="E73" i="8"/>
  <c r="F73" i="8" s="1"/>
  <c r="E71" i="8"/>
  <c r="F71" i="8" s="1"/>
  <c r="E74" i="8"/>
  <c r="F74" i="8" s="1"/>
  <c r="H63" i="8" l="1"/>
  <c r="H46" i="8"/>
  <c r="H47" i="8" l="1"/>
  <c r="H48" i="8" s="1"/>
  <c r="H52" i="8" s="1"/>
  <c r="H58" i="8" s="1"/>
  <c r="H59" i="8" s="1"/>
  <c r="H61" i="8" s="1"/>
  <c r="C150" i="8" l="1"/>
  <c r="C181" i="8"/>
  <c r="H62" i="8"/>
  <c r="D126" i="8"/>
  <c r="D128" i="8" s="1"/>
  <c r="C126" i="8"/>
  <c r="C128" i="8" s="1"/>
  <c r="C169" i="8"/>
  <c r="C167" i="8"/>
  <c r="E168" i="8"/>
  <c r="F171" i="8"/>
  <c r="E167" i="8"/>
  <c r="I171" i="8"/>
  <c r="H167" i="8"/>
  <c r="G167" i="8"/>
  <c r="F168" i="8"/>
  <c r="C166" i="8"/>
  <c r="D169" i="8"/>
  <c r="H166" i="8"/>
  <c r="G70" i="8"/>
  <c r="H70" i="8" s="1"/>
  <c r="I169" i="8"/>
  <c r="D168" i="8"/>
  <c r="G73" i="8"/>
  <c r="H73" i="8" s="1"/>
  <c r="I167" i="8"/>
  <c r="I168" i="8"/>
  <c r="H169" i="8"/>
  <c r="F170" i="8"/>
  <c r="G166" i="8"/>
  <c r="D170" i="8"/>
  <c r="G74" i="8"/>
  <c r="H74" i="8" s="1"/>
  <c r="I170" i="8"/>
  <c r="G72" i="8"/>
  <c r="H72" i="8" s="1"/>
  <c r="G168" i="8"/>
  <c r="F169" i="8"/>
  <c r="E169" i="8"/>
  <c r="G75" i="8"/>
  <c r="H75" i="8" s="1"/>
  <c r="C171" i="8"/>
  <c r="D167" i="8"/>
  <c r="H168" i="8"/>
  <c r="E170" i="8"/>
  <c r="G171" i="8"/>
  <c r="C107" i="8"/>
  <c r="E171" i="8"/>
  <c r="F167" i="8"/>
  <c r="I166" i="8"/>
  <c r="G68" i="8"/>
  <c r="H68" i="8" s="1"/>
  <c r="D166" i="8"/>
  <c r="D171" i="8"/>
  <c r="G170" i="8"/>
  <c r="F166" i="8"/>
  <c r="G71" i="8"/>
  <c r="H71" i="8" s="1"/>
  <c r="C168" i="8"/>
  <c r="G69" i="8"/>
  <c r="H69" i="8" s="1"/>
  <c r="E166" i="8"/>
  <c r="H171" i="8"/>
  <c r="H170" i="8"/>
  <c r="C170" i="8"/>
  <c r="G169" i="8"/>
  <c r="C145" i="8"/>
  <c r="C152" i="8" s="1"/>
  <c r="C129" i="8" l="1"/>
  <c r="C130" i="8" s="1"/>
  <c r="D129" i="8"/>
  <c r="D130" i="8" s="1"/>
  <c r="C110" i="8"/>
  <c r="C108" i="8"/>
  <c r="C109" i="8"/>
  <c r="C185" i="8"/>
  <c r="C186" i="8" s="1"/>
  <c r="B26" i="1"/>
  <c r="C151" i="8"/>
  <c r="C157" i="8" s="1"/>
  <c r="C26" i="1" s="1"/>
  <c r="C20" i="1" l="1"/>
  <c r="D132" i="8"/>
  <c r="C19" i="1" s="1"/>
  <c r="D131" i="8"/>
  <c r="C220" i="8"/>
  <c r="D220" i="8"/>
  <c r="C188" i="8"/>
  <c r="C187" i="8"/>
  <c r="B20" i="1"/>
  <c r="C132" i="8"/>
  <c r="C131" i="8"/>
  <c r="C111" i="8"/>
  <c r="B18" i="1" s="1"/>
  <c r="C112" i="8"/>
  <c r="B19" i="1" s="1"/>
  <c r="B27" i="1"/>
  <c r="C155" i="8"/>
  <c r="C24" i="1" s="1"/>
  <c r="C156" i="8"/>
  <c r="C25" i="1" s="1"/>
  <c r="B17" i="1"/>
  <c r="C18" i="1" l="1"/>
  <c r="C17" i="1"/>
  <c r="C189" i="8"/>
  <c r="C221" i="8" s="1"/>
  <c r="C207" i="8"/>
  <c r="C190" i="8"/>
  <c r="D221" i="8" s="1"/>
  <c r="C113" i="8"/>
  <c r="C211" i="8" l="1"/>
  <c r="C212" i="8" s="1"/>
  <c r="C214" i="8" s="1"/>
  <c r="C208" i="8"/>
  <c r="C216" i="8" l="1"/>
  <c r="D222" i="8" s="1"/>
  <c r="D223" i="8" s="1"/>
  <c r="C215" i="8"/>
  <c r="C222" i="8" s="1"/>
</calcChain>
</file>

<file path=xl/sharedStrings.xml><?xml version="1.0" encoding="utf-8"?>
<sst xmlns="http://schemas.openxmlformats.org/spreadsheetml/2006/main" count="1648" uniqueCount="1332">
  <si>
    <t>JAGEX LBO MODEL — EXECUTIVE DASHBOARD</t>
  </si>
  <si>
    <t>CVC Capital Partners + Haveli Investments | Acquisition from The Carlyle Group | 14-May-2024</t>
  </si>
  <si>
    <t>University of Arkansas — Mason Bennett, ,  | April 2026</t>
  </si>
  <si>
    <t>DEAL AT A GLANCE</t>
  </si>
  <si>
    <t>Deal Value (USD)</t>
  </si>
  <si>
    <t>PitchBook (T3); officially undisclosed</t>
  </si>
  <si>
    <t>Deal Value (GBP)</t>
  </si>
  <si>
    <t>FT, Sky News, PE-Insights press leaks</t>
  </si>
  <si>
    <t>Implied EV (USD)</t>
  </si>
  <si>
    <t>Calc: Deal − Cash + Debt + Leases</t>
  </si>
  <si>
    <t>Pro Forma EBITDA (USD)</t>
  </si>
  <si>
    <t>PitchBook PF (T3); $18.6M add-backs vs reported</t>
  </si>
  <si>
    <t>Reported TTM EBITDA (USD)</t>
  </si>
  <si>
    <t>PitchBook + CH Jagex Ltd FY23 (T1 cross-check)</t>
  </si>
  <si>
    <t>Total New Debt (USD)</t>
  </si>
  <si>
    <t>PitchBook only — lender ID/amounts ILLUSTRATIVE</t>
  </si>
  <si>
    <t>Sponsor Equity (USD)</t>
  </si>
  <si>
    <t>Residual: deal value − debt</t>
  </si>
  <si>
    <t>Deal / PF EBITDA</t>
  </si>
  <si>
    <t>Implied entry multiple</t>
  </si>
  <si>
    <t>RETURNS SUMMARY (5-year hold, 15x EV/EBITDA exit)</t>
  </si>
  <si>
    <t>Layer</t>
  </si>
  <si>
    <t>Base</t>
  </si>
  <si>
    <t>Upside</t>
  </si>
  <si>
    <t>Downside</t>
  </si>
  <si>
    <t>Notes</t>
  </si>
  <si>
    <t>Sponsor MOIC (gross, 15x exit)</t>
  </si>
  <si>
    <t>From LBO Model row 110 (Base) and rows 131 (scenarios). Pre-fund mechanics.</t>
  </si>
  <si>
    <t>Sponsor MOIC (post-MIP)</t>
  </si>
  <si>
    <t>10% MIP × 2.0x MOIC vesting hurdle. Base case does NOT clear hurdle.</t>
  </si>
  <si>
    <t>Sponsor IRR (5yr, post-MIP)</t>
  </si>
  <si>
    <t>Base case below typical 20% PE target — deal is conservative.</t>
  </si>
  <si>
    <t>LP net IRR (after fund mechanics)</t>
  </si>
  <si>
    <t>After 2-and-20 fund mechanics. Base ~8% — right at the 8% preferred return threshold.</t>
  </si>
  <si>
    <t>RETURNS ATTRIBUTION (Base case, 15x Y5 exit)</t>
  </si>
  <si>
    <t>Driver</t>
  </si>
  <si>
    <t>£M</t>
  </si>
  <si>
    <t>% of Total</t>
  </si>
  <si>
    <t>Investment Implication</t>
  </si>
  <si>
    <t>EBITDA growth</t>
  </si>
  <si>
    <t>CVC thesis is OPERATIONAL — three-quarters of value from EBITDA growth.</t>
  </si>
  <si>
    <t>Multiple change (15.2x → 15.0x)</t>
  </si>
  <si>
    <t>Slight contraction. Multiple expansion would require richer 2029 exit market.</t>
  </si>
  <si>
    <t>Deleveraging</t>
  </si>
  <si>
    <t>TL fully repaid by Y5 — but only 30% of return given conservative 2.2x leverage.</t>
  </si>
  <si>
    <t>Total equity value created</t>
  </si>
  <si>
    <t>100.0%</t>
  </si>
  <si>
    <t>Reconciles to Exit Equity − Entry Equity within rounding (LBO Model C152).</t>
  </si>
  <si>
    <t>VALUATION CROSS-METHOD ($M)</t>
  </si>
  <si>
    <t>Method</t>
  </si>
  <si>
    <t>Low</t>
  </si>
  <si>
    <t>Midpoint</t>
  </si>
  <si>
    <t>High</t>
  </si>
  <si>
    <t>Deal Reference</t>
  </si>
  <si>
    <t>CCA — original 8 comps</t>
  </si>
  <si>
    <t>25th-75th EV/EBITDA × $75M PF</t>
  </si>
  <si>
    <t>CCA — tight peer (PF basis)</t>
  </si>
  <si>
    <t>Paradox/Frontier/Everplay; trough vs PF</t>
  </si>
  <si>
    <t>PTA — original 6 deals</t>
  </si>
  <si>
    <t>25th-75th of original PitchBook set</t>
  </si>
  <si>
    <t>PTA — expanded set (live-service take-privates)</t>
  </si>
  <si>
    <t>Carlyle/Jagex 2021 + landmark take-privates</t>
  </si>
  <si>
    <t>DCF (8-12% WACC, 1.5-3.5% TGR)</t>
  </si>
  <si>
    <t>WACC build: CAPM derives ~10.0% (Damodaran Jan-2026 inputs)</t>
  </si>
  <si>
    <t>LBO (15-20% IRR, 15-18x exit)</t>
  </si>
  <si>
    <t>Implied range from sponsor return targets</t>
  </si>
  <si>
    <t>DEAL PRICE</t>
  </si>
  <si>
    <t>$1,136M</t>
  </si>
  <si>
    <t>Officially undisclosed; PitchBook back-calc from press £910M</t>
  </si>
  <si>
    <t>WHERE TO LOOK — TAB &amp; CELL REFERENCES</t>
  </si>
  <si>
    <t>To find...</t>
  </si>
  <si>
    <t>Tab</t>
  </si>
  <si>
    <t>Cells</t>
  </si>
  <si>
    <t>Deal vehicle structure (Janus chain)</t>
  </si>
  <si>
    <t>Deal Summary</t>
  </si>
  <si>
    <t>B89:D94</t>
  </si>
  <si>
    <t>Carlyle-era debt (CH charges 0004/0005)</t>
  </si>
  <si>
    <t>B96:D100</t>
  </si>
  <si>
    <t>Pro Forma EBITDA bridge ($75M)</t>
  </si>
  <si>
    <t>Historicals</t>
  </si>
  <si>
    <t>B138:D166</t>
  </si>
  <si>
    <t>Tight peer analysis (Paradox/Frontier/Everplay)</t>
  </si>
  <si>
    <t>CCA</t>
  </si>
  <si>
    <t>B48:D61</t>
  </si>
  <si>
    <t>Peer regression analysis</t>
  </si>
  <si>
    <t>B64:D102</t>
  </si>
  <si>
    <t>Slope, R², margin-adjusted multiples</t>
  </si>
  <si>
    <t>Live-service take-private precedents</t>
  </si>
  <si>
    <t>PTA</t>
  </si>
  <si>
    <t>B55:I81</t>
  </si>
  <si>
    <t>WACC build (CAPM)</t>
  </si>
  <si>
    <t>DCF</t>
  </si>
  <si>
    <t>B52:D69</t>
  </si>
  <si>
    <t>Risk-free, ERP, beta, target capital structure</t>
  </si>
  <si>
    <t>Original LBO operating model</t>
  </si>
  <si>
    <t>Management Incentive Plan</t>
  </si>
  <si>
    <t>LBO Model</t>
  </si>
  <si>
    <t>B100:D113</t>
  </si>
  <si>
    <t>10% MIP, 2.0x hurdle, dilution math</t>
  </si>
  <si>
    <t>Operating scenarios (3 cases)</t>
  </si>
  <si>
    <t>B116:F134</t>
  </si>
  <si>
    <t>Base/Upside/Downside with Y5 returns</t>
  </si>
  <si>
    <t>Returns attribution waterfall</t>
  </si>
  <si>
    <t>B137:D159</t>
  </si>
  <si>
    <t>EBITDA growth / Multiple / Deleveraging</t>
  </si>
  <si>
    <t>Entry × Exit sensitivity</t>
  </si>
  <si>
    <t>B162:I173</t>
  </si>
  <si>
    <t>6×7 MOIC matrix across multiples</t>
  </si>
  <si>
    <t>Exit EV-to-equity bridge</t>
  </si>
  <si>
    <t>B176:D192</t>
  </si>
  <si>
    <t>Refined exit mechanics with fees/escrow/cash</t>
  </si>
  <si>
    <t>PE fund waterfall (LP net)</t>
  </si>
  <si>
    <t>B195:D225</t>
  </si>
  <si>
    <t>2-and-20 economics, gross-to-net comparison</t>
  </si>
  <si>
    <t>Football Field (cross-method)</t>
  </si>
  <si>
    <t>Football Field</t>
  </si>
  <si>
    <t>A4:F9</t>
  </si>
  <si>
    <t>CCA, PTA (×2), DCF, LBO ranges</t>
  </si>
  <si>
    <t>All sources with Tier flags</t>
  </si>
  <si>
    <t>Source Log</t>
  </si>
  <si>
    <t>B33:G56</t>
  </si>
  <si>
    <t>20 Tier 1/2 entries with direct URLs</t>
  </si>
  <si>
    <t>KEY DEFENSIBILITY POINTS FOR Q&amp;A</t>
  </si>
  <si>
    <t>"How do you know Carlyle paid $530M?"</t>
  </si>
  <si>
    <t>Inferred — flat to confirmed Macarthur 2020 price (PR Newswire). Marked ILLUSTRATIVE in Deal Summary C86 and LBO Model C78.</t>
  </si>
  <si>
    <t>"Did Carlyle run Jagex unlevered?"</t>
  </si>
  <si>
    <t>Opco yes (Jagex Ltd standalone), group no. Companies House charges 0004 (Lucid 2021) and 0005 (Kroll 2023) confirm holdco-level Carlyle-era debt. See Deal Summary B96:B100 and EV Bridge B23.</t>
  </si>
  <si>
    <t>"Why is your live-service PTA median (19.5x) so different from the broader gaming M&amp;A median (13.1x)?"</t>
  </si>
  <si>
    <t>The expanded set focuses on (i) the seller precedent (Carlyle/Jagex 2021) and (ii) the four landmark live-service take-privates (Microsoft/Activision, Take-Two/Zynga, Sony/Bungie, EQT/Keywords). The broader gaming M&amp;A set includes small-cap and distressed deals that distort the multiple range. See PTA tab rows 55-81.</t>
  </si>
  <si>
    <t>"Walk me through the $75M pro forma EBITDA."</t>
  </si>
  <si>
    <t>Built up in Historicals B138:B166. Six items totalling ~$18.6M of add-backs to bridge from reported $56.4M. Each item ILLUSTRATIVE (PitchBook does not enumerate). Haircut sensitivity shows 17.4x at 50% haircut, 20.1x at 100% rejection.</t>
  </si>
  <si>
    <t>"Where do your IRR returns come from?"</t>
  </si>
  <si>
    <t>Returns Attribution (LBO Model B137:B159): 73% EBITDA growth, -4% multiple change, 30% deleveraging. Operational thesis, not financial engineering.</t>
  </si>
  <si>
    <t>"What's the LP's net IRR?"</t>
  </si>
  <si>
    <t>Base case 7.7% — BELOW the 8% preferred return. GPs collect mgmt fees but no carry. PE Fund Waterfall LBO Model B195:B225.</t>
  </si>
  <si>
    <t>"Is the deal overpriced?"</t>
  </si>
  <si>
    <t>Depends on exit multiple. At 15x entry / 15x exit: 1.55x MOIC / 9.2% IRR (below typical PE target). 18x exit needed to clear 2.0x MIP hurdle. Entry × Exit sensitivity LBO Model B162:I173.</t>
  </si>
  <si>
    <t>"Is there a fairness opinion?"</t>
  </si>
  <si>
    <t>No. Private-to-private secondary buyout has no banker fairness opinion. Football Field is the cross-method reasonableness check.</t>
  </si>
  <si>
    <t>Jagex_LBO_DCF_Final.xlsx | University of Arkansas | April 2026</t>
  </si>
  <si>
    <t>JAGEX LBO ANALYSIS — CVC/Haveli Acquisition</t>
  </si>
  <si>
    <t>Private-to-Private Secondary Buyout from Carlyle | Updated with PitchBook Data</t>
  </si>
  <si>
    <t>DEAL OVERVIEW (PitchBook Deal #6)</t>
  </si>
  <si>
    <t>Target</t>
  </si>
  <si>
    <t>Jagex Limited</t>
  </si>
  <si>
    <t>PitchBook; Carlyle PR Feb 9 2024</t>
  </si>
  <si>
    <t>HQ</t>
  </si>
  <si>
    <t>Cambridge, United Kingdom</t>
  </si>
  <si>
    <t>PitchBook Company Info</t>
  </si>
  <si>
    <t>Industry / SIC</t>
  </si>
  <si>
    <t>Entertainment Software / MMORPG</t>
  </si>
  <si>
    <t>PitchBook</t>
  </si>
  <si>
    <t>Financing Status</t>
  </si>
  <si>
    <t>Private Equity-Backed</t>
  </si>
  <si>
    <t>PitchBook Deal #6</t>
  </si>
  <si>
    <t>Business Status</t>
  </si>
  <si>
    <t>Generating Revenue</t>
  </si>
  <si>
    <t>CEO/Lead MGT (at deal)</t>
  </si>
  <si>
    <t>Philip Mansell (at deal); Jon Bellamy (from Mar 2025)</t>
  </si>
  <si>
    <t>PitchBook Deal #6; Jagex PR Mar 4 2025 (CEO transition)</t>
  </si>
  <si>
    <t>Employees</t>
  </si>
  <si>
    <t>700</t>
  </si>
  <si>
    <t>Flagship Product</t>
  </si>
  <si>
    <t>RuneScape + Old School RuneScape</t>
  </si>
  <si>
    <t>Jagex PR Feb 9 2024</t>
  </si>
  <si>
    <t>Lifetime Franchise Revenue</t>
  </si>
  <si>
    <t>$2 billion+ (updated Mar 2025)</t>
  </si>
  <si>
    <t>Jagex PR Mar 4 2025 ($1.5B+ at deal; $2B+ by Mar 2025)</t>
  </si>
  <si>
    <t>Active Subscribers</t>
  </si>
  <si>
    <t>2.4 million</t>
  </si>
  <si>
    <t>Carlyle PR Feb 9 2024</t>
  </si>
  <si>
    <t>Lifetime Accounts</t>
  </si>
  <si>
    <t>320+ million</t>
  </si>
  <si>
    <t>TRANSACTION DETAILS (PitchBook)</t>
  </si>
  <si>
    <t>Deal Type</t>
  </si>
  <si>
    <t>Buyout/LBO, Secondary Buyout</t>
  </si>
  <si>
    <t>Announced Date</t>
  </si>
  <si>
    <t>09-Feb-2024</t>
  </si>
  <si>
    <t>Deal Date (Closed)</t>
  </si>
  <si>
    <t>14-May-2024</t>
  </si>
  <si>
    <t>Deal Status</t>
  </si>
  <si>
    <t>Completed</t>
  </si>
  <si>
    <t>Financing Source</t>
  </si>
  <si>
    <t>Private Equity</t>
  </si>
  <si>
    <t>Use of Proceeds</t>
  </si>
  <si>
    <t>Acquisition-related: LBO</t>
  </si>
  <si>
    <t>% Acquired</t>
  </si>
  <si>
    <t>100.00%</t>
  </si>
  <si>
    <t>Buyer 1</t>
  </si>
  <si>
    <t>CVC Capital Partners (Fund VIII)</t>
  </si>
  <si>
    <t>PitchBook Investors; Lead: Nicholas Clarry</t>
  </si>
  <si>
    <t>Buyer 2</t>
  </si>
  <si>
    <t>Haveli Investments</t>
  </si>
  <si>
    <t>PitchBook Investors; Lead: Brian Sheth</t>
  </si>
  <si>
    <t>Seller</t>
  </si>
  <si>
    <t>The Carlyle Group (Full Exit)</t>
  </si>
  <si>
    <t>PitchBook Sellers/Exiters</t>
  </si>
  <si>
    <t>Seller Funds</t>
  </si>
  <si>
    <t>Carlyle Partners VII + Carlyle Europe Tech Partners IV</t>
  </si>
  <si>
    <t>% Company Sold</t>
  </si>
  <si>
    <t>ADVISORS (PitchBook)</t>
  </si>
  <si>
    <t>Goldman Sachs</t>
  </si>
  <si>
    <t>Advisor: General — CVC Capital Partners</t>
  </si>
  <si>
    <t>PitchBook Advisors #1</t>
  </si>
  <si>
    <t>Advisor: General — Haveli Investments</t>
  </si>
  <si>
    <t>PitchBook Advisors #2</t>
  </si>
  <si>
    <t>Aream &amp; Co.</t>
  </si>
  <si>
    <t>Advisor: General — Jagex (Seller-side)</t>
  </si>
  <si>
    <t>PitchBook Advisors #3</t>
  </si>
  <si>
    <t>Liberty Corporate Finance</t>
  </si>
  <si>
    <t>Advisor: General — Jagex</t>
  </si>
  <si>
    <t>PitchBook Advisors #4</t>
  </si>
  <si>
    <t>Morgan Stanley</t>
  </si>
  <si>
    <t>PitchBook Advisors #5</t>
  </si>
  <si>
    <t>Apollo Global Mgmt</t>
  </si>
  <si>
    <t>Debt Financing — Jagex</t>
  </si>
  <si>
    <t>PitchBook Advisors #6</t>
  </si>
  <si>
    <t>Oaktree Capital Mgmt</t>
  </si>
  <si>
    <t>PitchBook Advisors #7</t>
  </si>
  <si>
    <t>Latham &amp; Watkins</t>
  </si>
  <si>
    <t>Legal Advisor — CVC (Lead: Suneel Basson-Bhatoa)</t>
  </si>
  <si>
    <t>PitchBook Advisors #8</t>
  </si>
  <si>
    <t>Kirkland &amp; Ellis</t>
  </si>
  <si>
    <t>Legal Advisor — Carlyle (Lead: David Higgins)</t>
  </si>
  <si>
    <t>PitchBook Advisors #9</t>
  </si>
  <si>
    <t>DEAL VALUATION METRICS (PitchBook + Press)</t>
  </si>
  <si>
    <t>Deal Amount (USD)</t>
  </si>
  <si>
    <t>PitchBook Deal #6: $1,136,109K</t>
  </si>
  <si>
    <t>Post Valuation (USD)</t>
  </si>
  <si>
    <t>Implied Enterprise Value (USD)</t>
  </si>
  <si>
    <t>$1,087M</t>
  </si>
  <si>
    <t>PitchBook Deal #6: $1,086,869K</t>
  </si>
  <si>
    <t>GBP/USD at Deal Close (May 2024)</t>
  </si>
  <si>
    <t>1.2627</t>
  </si>
  <si>
    <t>X-Rates.com: May 2024 avg</t>
  </si>
  <si>
    <t>Deal Amount (GBP)</t>
  </si>
  <si>
    <t>£900M</t>
  </si>
  <si>
    <t>Calc: $1,136M / 1.2627 = £900M (press reported £910M)</t>
  </si>
  <si>
    <t>Implied EV (GBP)</t>
  </si>
  <si>
    <t>£861M</t>
  </si>
  <si>
    <t>Calc: $1,087M / 1.2627 = £861M</t>
  </si>
  <si>
    <t>Pro Forma EBITDA (Reported by PitchBook)</t>
  </si>
  <si>
    <t>$75.00M (£59.4M)</t>
  </si>
  <si>
    <t>PitchBook Deal #6: "Pro Forma EBITDA (Reported) 75.00"</t>
  </si>
  <si>
    <t>TTM Reported EBITDA (Dec 2023)</t>
  </si>
  <si>
    <t>$56.4M (£44.4M)</t>
  </si>
  <si>
    <t>PitchBook Financials TTM Dec 2023</t>
  </si>
  <si>
    <t>Deal Size / EBITDA (reported)</t>
  </si>
  <si>
    <t>20.13x</t>
  </si>
  <si>
    <t>PitchBook Deal Multiples</t>
  </si>
  <si>
    <t>Deal Size / Revenue</t>
  </si>
  <si>
    <t>6.02x</t>
  </si>
  <si>
    <t>Implied EV / EBITDA (reported)</t>
  </si>
  <si>
    <t>19.25x</t>
  </si>
  <si>
    <t>Implied EV / Revenue</t>
  </si>
  <si>
    <t>5.76x</t>
  </si>
  <si>
    <t>Debt Raised / EBITDA</t>
  </si>
  <si>
    <t>2.91x</t>
  </si>
  <si>
    <t>Deal Amount / Pro Forma EBITDA</t>
  </si>
  <si>
    <t>15.1x</t>
  </si>
  <si>
    <t>Calculated: $1,136M / $75M = 15.1x; corroborated by Naavik up to 15x</t>
  </si>
  <si>
    <t>OWNERSHIP HISTORY &amp; SELLER RETURN</t>
  </si>
  <si>
    <t>Insight Venture Partners</t>
  </si>
  <si>
    <t>2005-2016</t>
  </si>
  <si>
    <t>Wikipedia</t>
  </si>
  <si>
    <t>Hongtou / Fukong (China)</t>
  </si>
  <si>
    <t>2016-2020</t>
  </si>
  <si>
    <t>Macarthur Fortune Holding</t>
  </si>
  <si>
    <t>2020 ($530M)</t>
  </si>
  <si>
    <t>Wikipedia; Game Developer</t>
  </si>
  <si>
    <t>The Carlyle Group</t>
  </si>
  <si>
    <t>Jan 2021 – May 2024 (~$530M entry)</t>
  </si>
  <si>
    <t>Carlyle PR; Wikipedia; Telegraph</t>
  </si>
  <si>
    <t>CVC + Haveli</t>
  </si>
  <si>
    <t>May 2024 – Present ($1.14B / £910M)</t>
  </si>
  <si>
    <t>PitchBook; Wikipedia</t>
  </si>
  <si>
    <t>Carlyle Entry (~Jan 2021)</t>
  </si>
  <si>
    <t>~$530M (~£385M at prevailing FX)</t>
  </si>
  <si>
    <t>Telegraph; Wikipedia; multiple sources</t>
  </si>
  <si>
    <t>Carlyle Exit (May 2024)</t>
  </si>
  <si>
    <t>$1,136M (£900M)</t>
  </si>
  <si>
    <t>Carlyle Holding Period</t>
  </si>
  <si>
    <t>~3.3 years</t>
  </si>
  <si>
    <t>Calculated: Jan 2021 → May 2024</t>
  </si>
  <si>
    <t>Carlyle Implied MOIC</t>
  </si>
  <si>
    <t>~2.14x</t>
  </si>
  <si>
    <t>$1,136M / $530M = 2.14x</t>
  </si>
  <si>
    <t>Carlyle Implied IRR</t>
  </si>
  <si>
    <t>~26%</t>
  </si>
  <si>
    <t>2.14^(1/3.3) - 1 = 25.5%</t>
  </si>
  <si>
    <t>POST-DEAL DEVELOPMENTS</t>
  </si>
  <si>
    <t>CEO Transition</t>
  </si>
  <si>
    <t>Jon Bellamy replaced Phil Mansell (Mar 4 2025)</t>
  </si>
  <si>
    <t>Jagex PR Mar 4 2025; Bellamy was CVC advisor pre-appointment</t>
  </si>
  <si>
    <t>Pipeworks Divestiture</t>
  </si>
  <si>
    <t>Sold to Virtuos Studios (post-acquisition)</t>
  </si>
  <si>
    <t>Wikipedia; acquired Jul 2022, later divested</t>
  </si>
  <si>
    <t>Updated to $2 billion+ (from $1.5B+ at deal)</t>
  </si>
  <si>
    <t>Jagex PR Mar 4 2025</t>
  </si>
  <si>
    <t>RuneScape: Dragonwilds</t>
  </si>
  <si>
    <t>New co-op survival game launched Apr 2025 (Steam EA)</t>
  </si>
  <si>
    <t>SOURCE-CONFIDENCE NOTES</t>
  </si>
  <si>
    <t>Deal value precision flag</t>
  </si>
  <si>
    <t>$1,136M is INFERRED — official terms not disclosed</t>
  </si>
  <si>
    <t>Tier 3-4: Trade press £910M (FT, Sky News, PE-Insights pre-announce); PitchBook $1,136,109K is back-calc</t>
  </si>
  <si>
    <t>CVC vs Haveli equity split</t>
  </si>
  <si>
    <t>NOT DISCLOSED — both sponsors named jointly</t>
  </si>
  <si>
    <t>Market intuition: CVC majority, Haveli minority co-investor (typical pattern)</t>
  </si>
  <si>
    <t>Lender identities &amp; amounts</t>
  </si>
  <si>
    <t>Apollo / Oaktree / Permira amounts are PitchBook only — uncorroborated</t>
  </si>
  <si>
    <t>Companies House Janus Bidco MR01 (25 Apr 2024, 40pp) is paid PDF — paths to T1 verification</t>
  </si>
  <si>
    <t>Carlyle 2021 entry value ($530M)</t>
  </si>
  <si>
    <t>INFERRED — flat to Macarthur 2020 confirmed price</t>
  </si>
  <si>
    <t>Macarthur $530M confirmed: prnewswire.com/news-releases/platinum-fortune-acquires-jagex-for-530-million-301050848.html</t>
  </si>
  <si>
    <t>DEAL VEHICLE STRUCTURE (Companies House — Tier 1)</t>
  </si>
  <si>
    <t>Janus UK Topco Ltd (Jersey)</t>
  </si>
  <si>
    <t>CH FC041396 | Inc 13-Mar-2024 | Sponsor-level holdco</t>
  </si>
  <si>
    <t>Directors: Jennifer E. Lambkin, Abiola M. Motajo (Mourant sec)</t>
  </si>
  <si>
    <t>Janus Holdco Limited</t>
  </si>
  <si>
    <t>Group-level UK holdco | Files consolidated accounts</t>
  </si>
  <si>
    <t>Most material post-LBO disclosure (acquisition goodwill, debt notes)</t>
  </si>
  <si>
    <t>Janus Midco Limited</t>
  </si>
  <si>
    <t>CH #15451988 | Inc 30-Jan-2024 | Intermediate holdco</t>
  </si>
  <si>
    <t>Janus Bidco Limited</t>
  </si>
  <si>
    <t>CH #15451932 | Inc 30-Jan-2024 | DIRECT PARENT of Jagex Ltd | Carries debt</t>
  </si>
  <si>
    <t>MR01 charge filed 29-Apr-2024 (40pp); SH01 share allotment 14-May-2024 in USD</t>
  </si>
  <si>
    <t>Jagex Limited (operating co.)</t>
  </si>
  <si>
    <t>CH #03982706 | Inc Apr 2000 | UK opco</t>
  </si>
  <si>
    <t>CARLYLE-ERA DEBT (Companies House Charges Register)</t>
  </si>
  <si>
    <t>Charge 0004</t>
  </si>
  <si>
    <t>Lucid Trustee Services | Created 7-May-2021 | Satisfied 15-May-2024</t>
  </si>
  <si>
    <t>Documents Carlyle 2021 acquisition financing at the holdco level</t>
  </si>
  <si>
    <t>Charge 0005</t>
  </si>
  <si>
    <t>Kroll Trustee Services | Created 20-Jun-2023 | Satisfied 15-May-2024</t>
  </si>
  <si>
    <t>Charge 0006</t>
  </si>
  <si>
    <t>Kroll Trustee Services | Created 10-Sep-2024 | OUTSTANDING</t>
  </si>
  <si>
    <t>Note: At the operating-company level (Jagex Ltd #03982706), funded debt was zero throughout the Carlyle hold period. At the corporate-group level (June UK Bidco / June UK Finco), Carlyle-era acquisition debt was secured under charge 0004 (Lucid Trustee, May 2021) and refinanced/upsized under charge 0005 (Kroll Trustee, June 2023). Both charges were satisfied at deal close on 15 May 2024 as part of the CVC/Haveli refinancing.</t>
  </si>
  <si>
    <t>JAGEX — ENTERPRISE VALUE BRIDGE</t>
  </si>
  <si>
    <t>Private-to-Private: No share price mechanics. EV derived from deal structure.</t>
  </si>
  <si>
    <t>($ in thousands, per PitchBook)</t>
  </si>
  <si>
    <t>EV BRIDGE RECONCILIATION</t>
  </si>
  <si>
    <t>Deal Amount (Equity Value paid by CVC/Haveli)</t>
  </si>
  <si>
    <t>PitchBook Deal #6: "Deal Size: 1,136,109.21"</t>
  </si>
  <si>
    <t>(-) Target Cash &amp; Equivalents (FY2023)</t>
  </si>
  <si>
    <t>PitchBook BS: Cash &amp; CE at 31-Dec-2023</t>
  </si>
  <si>
    <t>(+) Target Total Debt (FY2023)</t>
  </si>
  <si>
    <t>PitchBook BS: Total Debt = $0 (zero funded debt)</t>
  </si>
  <si>
    <t>(+) Capital Lease Obligations</t>
  </si>
  <si>
    <t>PitchBook BS: Current cap lease $2,238K (FY2023)</t>
  </si>
  <si>
    <t>(-) Short-Term Investments</t>
  </si>
  <si>
    <t>PitchBook BS: none reported FY2023</t>
  </si>
  <si>
    <t>Implied Enterprise Value (calculated)</t>
  </si>
  <si>
    <t>Deal Amount - Cash + Debt + Leases</t>
  </si>
  <si>
    <t>Implied Enterprise Value (PitchBook)</t>
  </si>
  <si>
    <t>PitchBook Deal #6: "Implied EV: 1,086,869.49"</t>
  </si>
  <si>
    <t>Reconciliation Check</t>
  </si>
  <si>
    <t>Calculated vs PitchBook</t>
  </si>
  <si>
    <t>NOTES ON PRIVATE-TO-PRIVATE EV BRIDGE</t>
  </si>
  <si>
    <t>Unlike public-to-private deals, there is no (Price x Shares) calculation. The Deal Amount IS the equity value paid.</t>
  </si>
  <si>
    <t>PitchBooks Implied EV ($1,086,869K) = Deal Amount ($1,136,109K) minus adjustments for cash, debt, and other items.</t>
  </si>
  <si>
    <t>The ~$49M difference between Deal Amount and Implied EV is primarily the targets cash balance ($50,239K), net of minor lease adjustments.</t>
  </si>
  <si>
    <t>Reconciliation difference (if any) reflects rounding or items PitchBook includes that are not individually disclosed (e.g., minority interests, pension adjustments).</t>
  </si>
  <si>
    <t>Note: At the OPCO level (Jagex Ltd #03982706) there was no funded debt under Carlyle 2021-2024 — accurate per Companies House Jagex Ltd accounts. However, the GROUP (June UK Bidco / June UK Finco) carried debt secured by Companies House charges 0004 (Lucid Trustee, 7 May 2021) and 0005 (Kroll Trustee, 20 Jun 2023), both satisfied at deal close 15 May 2024. The CVC/Haveli acquisition financing (~$164M per PitchBook) is now secured at Janus Bidco level (charge 0006, 10 Sep 2024, Kroll Trustee).</t>
  </si>
  <si>
    <t>JAGEX LIMITED — HISTORICAL FINANCIALS (PitchBook)</t>
  </si>
  <si>
    <t>Amounts in $000s USD (PitchBook) | Source: PitchBook Data, Inc. | All data "Original" per PitchBook</t>
  </si>
  <si>
    <t>Downloaded 15-Apr-2026 for Mason Bennett, University of Arkansas (Students)</t>
  </si>
  <si>
    <t>INCOME STATEMENT</t>
  </si>
  <si>
    <t>FY2019</t>
  </si>
  <si>
    <t>FY2020</t>
  </si>
  <si>
    <t>FY2021</t>
  </si>
  <si>
    <t>FY2022</t>
  </si>
  <si>
    <t>FY2023</t>
  </si>
  <si>
    <t>FY2024</t>
  </si>
  <si>
    <t>Source</t>
  </si>
  <si>
    <t>Year End</t>
  </si>
  <si>
    <t>31-Dec-2019</t>
  </si>
  <si>
    <t>31-Dec-2020</t>
  </si>
  <si>
    <t>31-Dec-2021</t>
  </si>
  <si>
    <t>31-Dec-2022</t>
  </si>
  <si>
    <t>31-Dec-2023</t>
  </si>
  <si>
    <t>31-Dec-2024</t>
  </si>
  <si>
    <t>Total Revenue</t>
  </si>
  <si>
    <t>PitchBook IS (Jagex Limited consolidated group: Jagex + Pipeworks + Gamepires); may differ from Jagex Ltd standalone filings at Companies House. FY19 derived from CoR+GP.</t>
  </si>
  <si>
    <t>Cost of Revenue</t>
  </si>
  <si>
    <t>PitchBook IS</t>
  </si>
  <si>
    <t>Gross Profit</t>
  </si>
  <si>
    <t>Wages &amp; Salaries</t>
  </si>
  <si>
    <t>-</t>
  </si>
  <si>
    <t>Directors' Remuneration</t>
  </si>
  <si>
    <t>Auditor Fees</t>
  </si>
  <si>
    <t>Depreciation</t>
  </si>
  <si>
    <t>D&amp;A (incl amort)</t>
  </si>
  <si>
    <t>Total Opex (incl CoR)</t>
  </si>
  <si>
    <t>Total Operating Profit/(Loss)</t>
  </si>
  <si>
    <t>Interest Expense</t>
  </si>
  <si>
    <t>Interest Income</t>
  </si>
  <si>
    <t>Net Interest (Income)/Expense</t>
  </si>
  <si>
    <t>PitchBook IS; negative=net income</t>
  </si>
  <si>
    <t>Pretax Income</t>
  </si>
  <si>
    <t>Provision for Income Tax</t>
  </si>
  <si>
    <t>Net Income to Common</t>
  </si>
  <si>
    <t>Profitability Metrics:</t>
  </si>
  <si>
    <t>EBITDA</t>
  </si>
  <si>
    <t>EBIT</t>
  </si>
  <si>
    <t>Gross Dividends</t>
  </si>
  <si>
    <t>KEY MARGINS &amp; GROWTH (PitchBook Ratios)</t>
  </si>
  <si>
    <t>Gross Margin</t>
  </si>
  <si>
    <t>PitchBook Ratios</t>
  </si>
  <si>
    <t>EBITDA Margin</t>
  </si>
  <si>
    <t>EBIT Margin</t>
  </si>
  <si>
    <t>Net Profit Margin</t>
  </si>
  <si>
    <t>Revenue % Growth (GBP basis)</t>
  </si>
  <si>
    <t>EBITDA % Growth</t>
  </si>
  <si>
    <t>Effective Tax Rate</t>
  </si>
  <si>
    <t>Calculated: Tax/Pretax. Low rates reflect UK Video Games Tax Relief (VGTR)</t>
  </si>
  <si>
    <t>BALANCE SHEET</t>
  </si>
  <si>
    <t>Assets:</t>
  </si>
  <si>
    <t>Cash &amp; Equivalents</t>
  </si>
  <si>
    <t>PitchBook BS</t>
  </si>
  <si>
    <t>Trade/Accts Receivable</t>
  </si>
  <si>
    <t>Other Current Assets</t>
  </si>
  <si>
    <t>Total Current Assets</t>
  </si>
  <si>
    <t>Net PP&amp;E</t>
  </si>
  <si>
    <t>Net Intangible Assets</t>
  </si>
  <si>
    <t>Total Non-Current Assets</t>
  </si>
  <si>
    <t>Total Assets</t>
  </si>
  <si>
    <t>Liabilities:</t>
  </si>
  <si>
    <t>Trade Payables</t>
  </si>
  <si>
    <t>Capital Lease Oblig. (Current)</t>
  </si>
  <si>
    <t>Other Current Liabilities</t>
  </si>
  <si>
    <t>Total Current Liabilities</t>
  </si>
  <si>
    <t>LT Debt &amp; Capital Lease</t>
  </si>
  <si>
    <t>Total Non-Current Liabilities</t>
  </si>
  <si>
    <t>Total Liabilities</t>
  </si>
  <si>
    <t>Equity:</t>
  </si>
  <si>
    <t>Total Equity</t>
  </si>
  <si>
    <t>Financial Health:</t>
  </si>
  <si>
    <t>Total Debt</t>
  </si>
  <si>
    <t>PitchBook BS (no funded debt pre-deal)</t>
  </si>
  <si>
    <t>Net Debt</t>
  </si>
  <si>
    <t>Working Capital</t>
  </si>
  <si>
    <t>Capital Lease Obligations</t>
  </si>
  <si>
    <t>KEY RATIOS (PitchBook)</t>
  </si>
  <si>
    <t>Current Ratio</t>
  </si>
  <si>
    <t>Quick Ratio</t>
  </si>
  <si>
    <t>Debt to Equity</t>
  </si>
  <si>
    <t>Total Debt to EBITDA</t>
  </si>
  <si>
    <t>Interest Coverage</t>
  </si>
  <si>
    <t>EBITDA Interest Coverage</t>
  </si>
  <si>
    <t>CapEx to Sales</t>
  </si>
  <si>
    <t>Equity Multiplier</t>
  </si>
  <si>
    <t>Sales per Employee</t>
  </si>
  <si>
    <t>DEAL FINANCIALS AT CLOSE (PitchBook Deal #6)</t>
  </si>
  <si>
    <t>Deal Date</t>
  </si>
  <si>
    <t>PitchBook Deal #6, Buyout/LBO</t>
  </si>
  <si>
    <t>Valuation ($000s)</t>
  </si>
  <si>
    <t>Deal Size ($000s)</t>
  </si>
  <si>
    <t>Debt Raised ($000s)</t>
  </si>
  <si>
    <t>Revenue ($000s)</t>
  </si>
  <si>
    <t>EBITDA ($000s)</t>
  </si>
  <si>
    <t>EBIT ($000s)</t>
  </si>
  <si>
    <t>Net Income ($000s)</t>
  </si>
  <si>
    <t>Implied EV ($000s)</t>
  </si>
  <si>
    <t>Valuation / EBITDA</t>
  </si>
  <si>
    <t>Valuation / Revenue</t>
  </si>
  <si>
    <t>Implied EV / EBITDA</t>
  </si>
  <si>
    <t>KEY OBSERVATIONS FOR MODELING</t>
  </si>
  <si>
    <t>FY2019 revenue not directly reported by PitchBook; derived as CoR ($49.9M) + GP ($88.6M) = $138.5M ≈ £108.6M (matches Companies House/Naavik)</t>
  </si>
  <si>
    <t>ZERO funded debt across entire history (FY2019-FY2023). All liabilities are trade payables, lease obligations, and other operating items.</t>
  </si>
  <si>
    <t>CapEx to Sales = 0.00% per PitchBook — Jagex capitalizes game development costs as intangibles, not PP&amp;E. Intangibles grew from $10.6M to $28.6M (FY2019→FY2023).</t>
  </si>
  <si>
    <t>D&amp;A jumped from $2.1M (FY2019-20) to $10.5M (FY2022) as intangible amortization from Pipeworks/Gamepires acquisitions kicked in.</t>
  </si>
  <si>
    <t>FY2022 revenue dipped in USD ($169M vs $172M FY2021) but grew 10.06% in GBP — pure FX effect (GBP weakened significantly in 2022).</t>
  </si>
  <si>
    <t>FY2024 shows significant margin compression: EBITDA margin fell from 29.9% to 19.8%, operating profit dropped 36%. Post-CVC acquisition investment phase.</t>
  </si>
  <si>
    <t>Working capital surged from $27.5M (FY2022) to $86.0M (FY2023) then $129.9M (FY2024) — cash accumulation under new ownership.</t>
  </si>
  <si>
    <t>Interest income grew from $21K (FY2021) to $10.5M (FY2024) reflecting high cash balances + high interest rate environment.</t>
  </si>
  <si>
    <t>Pro Forma EBITDA at deal ($75M per PitchBook) vs Reported EBITDA ($56.4M UK GAAP, pre-adjustments) implies ~$18.6M in PE-standard add-backs (non-recurring costs, deal expenses). Reuters Sep-2023 report of ~£60M pre-deal EBITDA (≈$76M at deal-time FX) aligns with the PF figure, indicating Reuters was reporting adjusted/run-rate EBITDA rather than UK GAAP reported.</t>
  </si>
  <si>
    <t>Gross margin very stable: 85-89% across all years. Virtually all margin volatility comes from operating expenses (wages, amortization).</t>
  </si>
  <si>
    <t>DATA QUALITY FLAG — FY2019</t>
  </si>
  <si>
    <t>FY2019 Pretax Income ($49,730K) and Net Income ($43,840K) are IDENTICAL to FY2020 values in PitchBook. Likely a data mapping issue during fiscal year-end transition.</t>
  </si>
  <si>
    <t>FY2019 PP&amp;E ($8,415K) and Intangibles ($10,601K) also duplicate FY2020. Treat FY2019 balance sheet data with caution.</t>
  </si>
  <si>
    <t>FY2019 Cost of Revenue ($49,900K, 36% of rev) vs FY2020 ($16,924K, 11%) reflects reclassification of costs from CoR to OpEx under Carlyle ownership, NOT a business change.</t>
  </si>
  <si>
    <t>FY2019 gross margin (64%) is NOT comparable to FY2020+ (89%). The underlying business margin was stable; only the reporting presentation changed.</t>
  </si>
  <si>
    <t>NOTE — Total Debt $0 across history</t>
  </si>
  <si>
    <t>Total Debt $0 (B72:H72) is correct AT THE OPCO LEVEL (Jagex Ltd #03982706) — PitchBook sources from Companies House Jagex Ltd standalone accounts. However, the corporate group (Carlyle-era June UK Bidco / June UK Finco; CVC/Haveli-era Janus Bidco) carried acquisition debt as evidenced by CH Charges Register entries 0004 (Lucid 2021) and 0005 (Kroll 2023, both satisfied 15 May 2024) and 0006 (Kroll 2024, outstanding). For LBO modeling purposes this is moot — the entry valuation is enterprise value of the opco; group-level holdco debt was repaid at close.</t>
  </si>
  <si>
    <t>PRIMARY SOURCE POINTERS (Companies House — Tier 1)</t>
  </si>
  <si>
    <t>FY2023 accounts (filed 13-Mar-2025): https://find-and-update.company-information.service.gov.uk/company/03982706/filing-history</t>
  </si>
  <si>
    <t>FY2024 accounts (filed 4-Jun-2025): same filing-history URL — required for post-deal verification</t>
  </si>
  <si>
    <t>Janus Bidco group consolidated accounts to 31-Dec-2024 (filed 7-Oct-2025, 75pp): https://find-and-update.company-information.service.gov.uk/company/15451932/filing-history</t>
  </si>
  <si>
    <t>Note: PitchBook is the primary numerical source for this tab (Tier 3). For primary-source verification, the Companies House PDFs above can be pulled directly. Cross-checks completed for: total revenue, EBITDA, total debt $0, employees count.</t>
  </si>
  <si>
    <t>PRO FORMA EBITDA BRIDGE ($75M)</t>
  </si>
  <si>
    <t>The valuation rests on a Pro Forma EBITDA of $75M (PitchBook "Pro Forma EBITDA (Reported)"). PitchBook does not disclose the specific add-backs bridging Reported TTM EBITDA ($56.4M) to Pro Forma ($75M). This is an $18.6M / 33% adjustment that materially affects the entry multiple (20.1x reported vs 15.1x PF). The bridge below reconstructs likely add-back items from PitchBook line items plus standard PE add-back conventions for a 2024 sponsor-secondary in UK gaming. Individual items are illustrative; the aggregate $18.6M reconciles to PitchBook's stated PF EBITDA within rounding.</t>
  </si>
  <si>
    <t>Bridge item</t>
  </si>
  <si>
    <t>$M</t>
  </si>
  <si>
    <t>Source / Rationale</t>
  </si>
  <si>
    <t>Reported TTM EBITDA (Dec 2023)</t>
  </si>
  <si>
    <t>PitchBook Financials TTM Dec 2023 (UK GAAP basis, pre-PE adjustments); cross-checked to Companies House Jagex Ltd FY23 accounts. Reuters pre-deal estimate of ~£60M (≈$76M) is the adjusted/PF basis — not directly comparable to this number.</t>
  </si>
  <si>
    <t>Likely add-back items (illustrative)</t>
  </si>
  <si>
    <t>(+) Transaction &amp; advisory fees</t>
  </si>
  <si>
    <t>ILLUSTRATIVE. Deal-process costs: Morgan Stanley/Aream/Liberty/Kirkland sell-side fees expensed in FY23 pre-close. Typical 0.4-0.6% of deal value = $4-6M for a $1.1B deal.</t>
  </si>
  <si>
    <t>(+) Stock-based compensation</t>
  </si>
  <si>
    <t>ILLUSTRATIVE. Standard PE add-back (non-cash). ~1.8% of $193M revenue typical for mid-cap gaming. Not separately disclosed by PitchBook.</t>
  </si>
  <si>
    <t>(+) M&amp;A integration costs (Pipeworks/Gamepires)</t>
  </si>
  <si>
    <t>ILLUSTRATIVE. Pipeworks (Jul 2022) and Gamepires (2022) integrated during FY22-FY23. One-time integration, rebranding, systems migration. Standard 2-year integration runway.</t>
  </si>
  <si>
    <t>(+) Hero Pass controversy / remediation</t>
  </si>
  <si>
    <t>ILLUSTRATIVE. Sep 2023 Hero Pass controversy triggered review-bombing + community remediation costs + marketing response. Non-recurring.</t>
  </si>
  <si>
    <t>(+) Executive transition / severance</t>
  </si>
  <si>
    <t>ILLUSTRATIVE. CEO transition (Mansell → Bellamy Mar 2025) set up in FY23; typical severance + recruiting + transition costs.</t>
  </si>
  <si>
    <t>(+) Run-rate savings / revenue normalization</t>
  </si>
  <si>
    <t>ILLUSTRATIVE. Residual — "run-rate" adjustments: annualizing late-2023 price increases, removing one-time marketing investments, other normalizations. Balances to the $75M target.</t>
  </si>
  <si>
    <t>Total reconstructed add-backs</t>
  </si>
  <si>
    <t>Should sum to ~$18.6M to reconcile to PitchBook $75M PF</t>
  </si>
  <si>
    <t>Pro Forma EBITDA (reconstructed)</t>
  </si>
  <si>
    <t>Reported + add-backs</t>
  </si>
  <si>
    <t>PitchBook-reported Pro Forma EBITDA</t>
  </si>
  <si>
    <t>Bridge reconciliation (should be ~0)</t>
  </si>
  <si>
    <t>Sum of itemized add-backs vs PitchBook PF; residual is items not separately enumerated</t>
  </si>
  <si>
    <t>ADD-BACK HAIRCUT SENSITIVITY (Entry Multiple at various PF EBITDA haircuts)</t>
  </si>
  <si>
    <t>Haircut on add-backs</t>
  </si>
  <si>
    <t>Adj PF EBITDA ($M)</t>
  </si>
  <si>
    <t>Deal Amt / Adj PF</t>
  </si>
  <si>
    <t>Implied EV / Adj PF</t>
  </si>
  <si>
    <t>Full (PitchBook)</t>
  </si>
  <si>
    <t>25% haircut</t>
  </si>
  <si>
    <t>50% haircut</t>
  </si>
  <si>
    <t>75% haircut</t>
  </si>
  <si>
    <t>Reject all add-backs</t>
  </si>
  <si>
    <t>Reading: Even rejecting 100% of the itemized add-backs, the deal would price at 20.1x Reported EBITDA — exactly matching PitchBook's "Deal/Reported" multiple. The 15.1x PF multiple requires acceptance of the full $18.6M in add-backs. A conservative case (50% haircut) implies a 17.4x multiple — defensible vs the live-service take-private median of 19.5x for similar deals. The PF/Reported gap is therefore not a critical weak point; the deal is reasonable on either basis.</t>
  </si>
  <si>
    <t>JAGEX — COMPARABLE COMPANY ANALYSIS (CCA)</t>
  </si>
  <si>
    <t>PitchBook Data, Inc. | Downloaded 15-Apr-2026 | All amounts in USD millions</t>
  </si>
  <si>
    <t>Created for: Mason Bennett, University of Arkansas (Students)</t>
  </si>
  <si>
    <t>FINANCIALS (TTM)</t>
  </si>
  <si>
    <t>Jagex</t>
  </si>
  <si>
    <t>Square Enix</t>
  </si>
  <si>
    <t>NCsoft</t>
  </si>
  <si>
    <t>Stillfront</t>
  </si>
  <si>
    <t>Gravity</t>
  </si>
  <si>
    <t>Pearl Abyss</t>
  </si>
  <si>
    <t>Paradox Int.</t>
  </si>
  <si>
    <t>Everplay</t>
  </si>
  <si>
    <t>Frontier Dev</t>
  </si>
  <si>
    <t>Ticker</t>
  </si>
  <si>
    <t>Private</t>
  </si>
  <si>
    <t>TKS:9684</t>
  </si>
  <si>
    <t>KRX:036570</t>
  </si>
  <si>
    <t>STO:SF</t>
  </si>
  <si>
    <t>NAS:GRVY</t>
  </si>
  <si>
    <t>KRX:263750</t>
  </si>
  <si>
    <t>STO:PDX</t>
  </si>
  <si>
    <t>LON:EVPL</t>
  </si>
  <si>
    <t>LON:FDEV</t>
  </si>
  <si>
    <t>Revenue ($M)</t>
  </si>
  <si>
    <t>PitchBook TTM</t>
  </si>
  <si>
    <t>Revenue Growth %</t>
  </si>
  <si>
    <t>EBITDA ($M)</t>
  </si>
  <si>
    <t>Norm. EBITDA Margin</t>
  </si>
  <si>
    <t>Net Income ($M)</t>
  </si>
  <si>
    <t>N/A</t>
  </si>
  <si>
    <t>CapEx / Sales</t>
  </si>
  <si>
    <t>TRADING MULTIPLES (16-Apr-2026)</t>
  </si>
  <si>
    <t>EV / Revenue</t>
  </si>
  <si>
    <t>EV / EBITDA (Normalized)</t>
  </si>
  <si>
    <t>PitchBook; Pearl Abyss 477x excluded as outlier</t>
  </si>
  <si>
    <t>Price / Revenue</t>
  </si>
  <si>
    <t>Price / Earnings</t>
  </si>
  <si>
    <t>SUMMARY STATISTICS</t>
  </si>
  <si>
    <t>EV / EBITDA</t>
  </si>
  <si>
    <t>(7 comps)</t>
  </si>
  <si>
    <t>(6 comps, excl. Pearl Abyss 477x)</t>
  </si>
  <si>
    <t>Mean</t>
  </si>
  <si>
    <t>Median</t>
  </si>
  <si>
    <t>25th Percentile</t>
  </si>
  <si>
    <t>75th Percentile</t>
  </si>
  <si>
    <t>IMPLIED JAGEX VALUATION ($M)</t>
  </si>
  <si>
    <t>EV/Revenue</t>
  </si>
  <si>
    <t>EV/EBITDA (Rptd)</t>
  </si>
  <si>
    <t>EV/EBITDA (PF $75M)</t>
  </si>
  <si>
    <t>Deal Price for Reference</t>
  </si>
  <si>
    <t>PitchBook: $1,136M deal amount (precise: $1,136,109K)</t>
  </si>
  <si>
    <t>Deal / PF EBITDA Multiple</t>
  </si>
  <si>
    <t>15.2x</t>
  </si>
  <si>
    <t>$1,136M / $75M pro forma = 15.1x</t>
  </si>
  <si>
    <t>INTERPRETATION</t>
  </si>
  <si>
    <t>CCA implies Jagex standalone public trading value of $212M-$832M (EV/Revenue) or $227M-$874M (EV/EBITDA on pro forma).</t>
  </si>
  <si>
    <t>Deal price of $1.14B represents a significant premium to public comps — expected for a take-private LBO.</t>
  </si>
  <si>
    <t>Premium to CCA median: ~190% (EV/Revenue) and ~63% (EV/PF EBITDA). Consistent with significant control premium for PE take-private.</t>
  </si>
  <si>
    <t>Pearl Abyss excluded from EV/EBITDA due to near-zero EBITDA ($5.4M) creating extreme 477x outlier.</t>
  </si>
  <si>
    <t>Gravity missing EV/Revenue in PitchBook — GRVY trades OTC with limited liquidity.</t>
  </si>
  <si>
    <t>NCsoft EV/EBITDA of 33x reflects Lineage mobile franchise premium; excluding NCsoft, median drops to ~8.0x.</t>
  </si>
  <si>
    <t>Note: TTM financials reflect period ending ~Dec 2025, NOT deal-time (May 2024). EBITDA has declined from deal-time $56.4M to $38.3M.</t>
  </si>
  <si>
    <t>TIGHT PEER SUBSET (Paradox + Frontier + Everplay)</t>
  </si>
  <si>
    <t>Rationale: of the 8 PitchBook comps, the 3 closest to Jagex on (a) scale (~$200M revenue), (b) live-service / evergreen IP business model, (c) UK/EU geography, are: Paradox Interactive (DLC + grand strategy), Frontier Developments (Cambridge UK, sim), Everplay/Team17 (UK indie publisher). Square Enix and NCsoft are 5-10x larger and have different competitive dynamics. Pearl Abyss correctly excluded. Stillfront is mobile-distressed.</t>
  </si>
  <si>
    <t>Tight Peer EV/Revenue (Paradox, Everplay, Frontier)</t>
  </si>
  <si>
    <t>Tight Peer EV/EBITDA (Paradox, Everplay, Frontier)</t>
  </si>
  <si>
    <t>Implied Jagex EV (tight, EV/EBITDA × PF $75M)</t>
  </si>
  <si>
    <t>Implied EV ($M)</t>
  </si>
  <si>
    <t>FORWARD-EBITDA BASIS (when LTM is a trough year)</t>
  </si>
  <si>
    <t>Jagex FY24 reported EBITDA ($38.3M) declined ~32% from FY23 ($56.4M) — clearly a trough. Applying peer multiples to a trough-year EBITDA understates fair value. Apply tight-peer median to FY+1 forward EBITDA from the DCF model.</t>
  </si>
  <si>
    <t>FY+1 (FY2025E) Forward EBITDA from DCF (£M)</t>
  </si>
  <si>
    <t>FY+1 Forward EBITDA in USD (× FX 1.2627)</t>
  </si>
  <si>
    <t>Implied EV (Tight Peer EV/EBITDA × FY25E EBITDA, $M)</t>
  </si>
  <si>
    <t>Forward-basis EV (more defensible than LTM trough)</t>
  </si>
  <si>
    <t>Deal Reference: $1,136M deal amount → comparison</t>
  </si>
  <si>
    <t>Deal premium over tight-peer × FY+1 EBITDA implied EV ($M)</t>
  </si>
  <si>
    <t>PEER REGRESSION (Multiple vs Growth &amp; Margin)</t>
  </si>
  <si>
    <t>Damodaran-style relative valuation: rather than applying a blunt median multiple, regress EV/EBITDA (or EV/Revenue) on peer-level growth rates and EBITDA margins, then apply the fitted relationship to Jagex's characteristics to derive a FAIR multiple. Tight peer set (Paradox, Everplay, Frontier) is too small for full regression (n=3); approach below computes a simple characteristic-adjusted multiple as a sensitivity.</t>
  </si>
  <si>
    <t>TIGHT PEER CHARACTERISTICS</t>
  </si>
  <si>
    <t>Peer</t>
  </si>
  <si>
    <t>Revenue Growth</t>
  </si>
  <si>
    <t>EV/EBITDA</t>
  </si>
  <si>
    <t>Paradox Interactive</t>
  </si>
  <si>
    <t>Everplay Group</t>
  </si>
  <si>
    <t>Frontier Developments</t>
  </si>
  <si>
    <t>Jagex (target)</t>
  </si>
  <si>
    <t>— private —</t>
  </si>
  <si>
    <t>Peer averages</t>
  </si>
  <si>
    <t>SIMPLE REGRESSION: EV/EBITDA vs Revenue Growth</t>
  </si>
  <si>
    <t>Slope (Δ EV/EBITDA per 1pp Δ growth)</t>
  </si>
  <si>
    <t>Positive slope = market pays up for growth</t>
  </si>
  <si>
    <t>Intercept (EV/EBITDA at 0% growth)</t>
  </si>
  <si>
    <t>R-squared</t>
  </si>
  <si>
    <t>With n=3, R² is not a rigorous fit statistic; use directionally only</t>
  </si>
  <si>
    <t>Predicted Jagex EV/EBITDA at Jagex growth rate</t>
  </si>
  <si>
    <t>Regression predicted multiple applied to Jagex's growth</t>
  </si>
  <si>
    <t>Simple average EV/EBITDA of tight peers</t>
  </si>
  <si>
    <t>Margin-adjusted multiple (peer avg × Jagex/peer margin)</t>
  </si>
  <si>
    <t>Higher margins justify higher multiples; scales peer avg by margin ratio</t>
  </si>
  <si>
    <t>IMPLIED JAGEX EV AT DIFFERENT REGRESSION-DERIVED MULTIPLES</t>
  </si>
  <si>
    <t>Multiple</t>
  </si>
  <si>
    <t>Implied EV ($M, × $75M PF)</t>
  </si>
  <si>
    <t>Implied EV ($M, × $56.4M Rptd)</t>
  </si>
  <si>
    <t>Growth-based regression</t>
  </si>
  <si>
    <t>Tight peer average</t>
  </si>
  <si>
    <t>Margin-adjusted peer average</t>
  </si>
  <si>
    <t>Deal reference</t>
  </si>
  <si>
    <t>Reading: the regression provides a characteristics-based fair multiple (not a blunt median). If Jagex's growth is negative vs peer avg, the regression predicts a discount; if margin is above peer avg, the margin-adjustment predicts a premium. The two effects partially offset. Caveat: n=3 regression is a heuristic — useful for Q&amp;A defense ("we considered growth and margin scaling") but not a rigorous econometric fit. With a larger comp set (say 8-10 tight peers) this would be a proper regression analysis.</t>
  </si>
  <si>
    <t>REGRESSION ON NORMALIZED JAGEX (PF EBITDA / margin basis)</t>
  </si>
  <si>
    <t>Jagex PF EBITDA margin vs tight peers</t>
  </si>
  <si>
    <t>Jagex normalized EBITDA margin (PF basis)</t>
  </si>
  <si>
    <t>Pro Forma $75M / TTM revenue $193.5M = 38.8% normalized</t>
  </si>
  <si>
    <t>Peer avg EBITDA margin</t>
  </si>
  <si>
    <t>Margin-adjusted mult (PF basis)</t>
  </si>
  <si>
    <t>Peer avg × (Jagex PF margin / peer margin); uses normalized — not trough</t>
  </si>
  <si>
    <t>Implied EV at PF margin-adjusted mult × $75M</t>
  </si>
  <si>
    <t>INTERPRETATION OF REGRESSION RESULTS</t>
  </si>
  <si>
    <t>All three peer-based methods (simple regression, tight peer avg, margin-adjusted) imply Jagex standalone trading value of ~$300-$733M. The deal at $1,136M represents a 55-280% premium — which IS the PE take-private control premium. This is NOT evidence the deal is overpriced; it IS evidence that CCA alone cannot justify the deal price. The PTA (transaction multiples) is the more relevant benchmark for a take-private. This is why the Football Field bridges CCA (low) to PTA (middle) to Deal (high) — the progression shows the control premium explicitly.</t>
  </si>
  <si>
    <t>Note on regression slope (C76 = -41.9): the negative slope reflects idiosyncratic 2026 market conditions — Frontier Developments (FDEV) currently trades at only 3.0x EV/EBITDA despite 15.8% revenue growth, while Paradox trades at 12.7x with flat growth. This is NOT a general market relationship; it is peer-set noise. With n=3, the regression is directional at best. A larger peer set (8-12 companies) would likely show the expected positive slope. The regression is retained in the model for Q&amp;A defensibility ("we considered growth scaling") but the tight peer average (7.5x) and margin-adjusted multiple (PF basis, row 96) are more reliable.</t>
  </si>
  <si>
    <t>JAGEX — PRECEDENT TRANSACTION ANALYSIS (PTA)</t>
  </si>
  <si>
    <t>PitchBook M&amp;A Comps | Downloaded 15-Apr-2026 | Gaming M&amp;A deals 2021-2025</t>
  </si>
  <si>
    <t>Next Games excluded by user (EV/EBITDA -155x, distressed). 6 comps analyzed.</t>
  </si>
  <si>
    <t>PRECEDENT TRANSACTIONS</t>
  </si>
  <si>
    <t>Acquirer</t>
  </si>
  <si>
    <t>EV/Rev</t>
  </si>
  <si>
    <t>Sybo Games</t>
  </si>
  <si>
    <t>24-Jun-2022</t>
  </si>
  <si>
    <t>Copenhagen, DK</t>
  </si>
  <si>
    <t>Miniclip (Tencent)</t>
  </si>
  <si>
    <t>M&amp;A</t>
  </si>
  <si>
    <t>Subway Surfers - hit mobile franchise; strategic premium</t>
  </si>
  <si>
    <t>Codemasters</t>
  </si>
  <si>
    <t>18-Feb-2021</t>
  </si>
  <si>
    <t>Southam, UK</t>
  </si>
  <si>
    <t>Electronic Arts (NAS:EA)</t>
  </si>
  <si>
    <t>F1, DiRT racing franchise; strategic acquirer. EV/LTM Adj EBITDA at announcement (14-Dec-2020): £894.9M EV / £30.0M LTM Sep-2020 EBITDA = 29.83x. EV bridge: £945M equity − £50.1M net cash. LTM EBITDA = FY20 £18.2M + H1 FY21 £21.2M − H1 FY20 £9.4M (interim results filed 23-Nov-2020 under RNS 0926G). Cross-checked vs InvestGame.net published 29.8x. The 16.5x figure cited in some sources is the forward FY21 broker-consensus multiple, not trailing.</t>
  </si>
  <si>
    <t>Climax Studios</t>
  </si>
  <si>
    <t>21-Apr-2021</t>
  </si>
  <si>
    <t>Portsmouth, UK</t>
  </si>
  <si>
    <t>Keywords Studios (LON:KWS)</t>
  </si>
  <si>
    <t>UK co-development studio</t>
  </si>
  <si>
    <t>astragon Entertainment</t>
  </si>
  <si>
    <t>13-Jan-2022</t>
  </si>
  <si>
    <t>Dusseldorf, DE</t>
  </si>
  <si>
    <t>Everplay Group (LON:EVPL)</t>
  </si>
  <si>
    <t>Simulation games publisher (Construction Sim)</t>
  </si>
  <si>
    <t>Coffee Stain Gothenburg</t>
  </si>
  <si>
    <t>19-Aug-2022</t>
  </si>
  <si>
    <t>Gothenburg, SE</t>
  </si>
  <si>
    <t>Embracer Group (STO:EMBRAC B)</t>
  </si>
  <si>
    <t>Satisfactory developer; internal restructuring</t>
  </si>
  <si>
    <t>Thunderful Group</t>
  </si>
  <si>
    <t>30-Sep-2025</t>
  </si>
  <si>
    <t>Atari (PAR:ALATA)</t>
  </si>
  <si>
    <t>Distressed Nordic publisher; non-normalized</t>
  </si>
  <si>
    <t>LEGEND: Light orange = potential outlier (reviewed below)</t>
  </si>
  <si>
    <t>Statistic</t>
  </si>
  <si>
    <t>EV/EBITDA (All 6)</t>
  </si>
  <si>
    <t>EV/EBITDA (Core 3)</t>
  </si>
  <si>
    <t>EV/Revenue (All 4)</t>
  </si>
  <si>
    <t>EV/Revenue (Core 2)</t>
  </si>
  <si>
    <t>Min</t>
  </si>
  <si>
    <t>Max</t>
  </si>
  <si>
    <t>Core set = 3 comps (Codemasters, Climax, astragon) excluding Sybo (35.49x hit-franchise premium) and Coffee Stain (2.40x internal restructuring)</t>
  </si>
  <si>
    <t>Core EV/Rev set = 2 comps (Codemasters 8.44x, Climax 5.01x) excluding Thunderful 0.24x (distressed) and Coffee Stain 2.36x (internal)</t>
  </si>
  <si>
    <t>IMPLIED JAGEX VALUATION</t>
  </si>
  <si>
    <t>Applied to Jagex Financials:</t>
  </si>
  <si>
    <t>Mult</t>
  </si>
  <si>
    <t>Basis</t>
  </si>
  <si>
    <t>Low (25th pct all)</t>
  </si>
  <si>
    <t>EV/EBITDA × PF $75M</t>
  </si>
  <si>
    <t>Median (all 6)</t>
  </si>
  <si>
    <t>Mean (all 6)</t>
  </si>
  <si>
    <t>High (75th pct all)</t>
  </si>
  <si>
    <t>Median (core 3)</t>
  </si>
  <si>
    <t>Mean (core 3)</t>
  </si>
  <si>
    <t>Median (all 6) × Rptd EBITDA</t>
  </si>
  <si>
    <t>EV/EBITDA × Rptd $56.4M</t>
  </si>
  <si>
    <t>Median EV/Rev × Revenue</t>
  </si>
  <si>
    <t>EV/Rev × $188.8M</t>
  </si>
  <si>
    <t>Median EV/Rev (core) × Revenue</t>
  </si>
  <si>
    <t>Jagex Deal (reference)</t>
  </si>
  <si>
    <t>PitchBook: Deal/PF EBITDA 15.1x; Deal/Rptd 20.13x</t>
  </si>
  <si>
    <t>PTA implies Jagex valuation of $374M-$1,185M (£296M-£938M) at 25th-75th percentile of all 6 comps on pro forma EBITDA basis.</t>
  </si>
  <si>
    <t>Median-derived implied EV of $985M (£780M) is below deal price of $1,136M (£900M), implying Jagex commanded a ~15% premium to median PTA comp.</t>
  </si>
  <si>
    <t>Core set analysis (Codemasters, Climax, astragon) yields median 13.56x × $75M = $1,017M (£805M) — still below deal price but much closer to the actual multiple.</t>
  </si>
  <si>
    <t>Sybo Games (35.49x) represents strategic hit-franchise premium — Miniclip paid for the #1 mobile game globally (Subway Surfers). Not comparable to Jagex's MMORPG model.</t>
  </si>
  <si>
    <t>Coffee Stain Gothenburg (2.40x) and Thunderful (0.95x) represent internal restructurings and distressed deals. Also not comparable.</t>
  </si>
  <si>
    <t>Codemasters (16.54x EA acquisition, 2021) is the strongest single comp — UK gaming studio acquired by strategic buyer with live-service racing IP. This is MORE comparable to Jagex than the deal median suggests.</t>
  </si>
  <si>
    <t>Deal price of 20.13x reported EBITDA exceeds all PTA comps except Sybo, consistent with franchise quality premium for a 25-year live-service MMORPG.</t>
  </si>
  <si>
    <t>EV/Revenue analysis: Jagex deal at 6.02x sits between median EV/Rev of 3.68x (all 4) and max of 8.44x (Codemasters). Codemasters alone implies $1,595M (£1,263M) — above deal price.</t>
  </si>
  <si>
    <t>LIVE-SERVICE / TAKE-PRIVATE PRECEDENTS</t>
  </si>
  <si>
    <t>A focused set of directly comparable transactions: (i) the inferred seller precedent — Carlyle's January 2021 acquisition of Jagex from Macarthur Fortune at ~$530M / ~11.5x EV/EBITDA (Carlyle's actual 2021 price was never disclosed; $530M is the April 2020 confirmed price paid by Macarthur Fortune to Shanghai Hongtou / Shanghai Fukong, used here as a flat-hold proxy) — and (ii) the four landmark live-service take-privates from 2021-2024: Microsoft/Activision, Take-Two/Zynga, Sony/Bungie, EQT/Keywords. Codemasters/EA retained as the strongest UK direct comp. The broader 6-deal set above (rows 7-12) included small-cap deals that distort the multiple range; this expanded set provides cleaner benchmarks for the deal's 15.1x entry multiple.</t>
  </si>
  <si>
    <t>Type</t>
  </si>
  <si>
    <t>EV ($M)</t>
  </si>
  <si>
    <t>Notes / Source</t>
  </si>
  <si>
    <t>Jagex (Carlyle from Macarthur) ★</t>
  </si>
  <si>
    <t>25-Jan-2021</t>
  </si>
  <si>
    <t>PE Platform</t>
  </si>
  <si>
    <t>Most directly comparable: prior owner of Jagex; seller precedent. Carlyle Partners VII + Carlyle Europe Tech IV.</t>
  </si>
  <si>
    <t>Activision Blizzard</t>
  </si>
  <si>
    <t>18-Jan-2022</t>
  </si>
  <si>
    <t>Microsoft (NAS:MSFT)</t>
  </si>
  <si>
    <t>Take-Private</t>
  </si>
  <si>
    <t>Closed 13-Oct-2023; 45% premium; landmark live-service deal. EV/EBITDA on forecast FY21 Adj EBITDA at announcement (20.2x as cited by InvestGame); actual FY21 TTM was ~18.4-19.6x per SEC filings.</t>
  </si>
  <si>
    <t>Zynga</t>
  </si>
  <si>
    <t>10-Jan-2022</t>
  </si>
  <si>
    <t>Take-Two (NAS:TTWO)</t>
  </si>
  <si>
    <t>Take-Private (mixed cash/stock)</t>
  </si>
  <si>
    <t>Closed 23-May-2022; 64% premium; mobile live-service</t>
  </si>
  <si>
    <t>Keywords Studios</t>
  </si>
  <si>
    <t>3-Jul-2024</t>
  </si>
  <si>
    <t>EQT + CPP + Temasek</t>
  </si>
  <si>
    <t>Take-Private (UK)</t>
  </si>
  <si>
    <t>Closed 24-Oct-2024; 67% premium; UK gaming services take-private. Multiple stated verbatim in Rule 2.7 Recommended Final Cash Offer (3-Jul-2024): "...implies an enterprise value of approximately £2.2 billion and a multiple of approximately 15.9 times Keywords Studios' adjusted EBITDA for the 12-month period ended 31 December 2023 of £139 million." Cross-checks three ways: £2,200M÷£139M = 15.83x; €2,506M÷€158.3M = 15.83x; $2,800M÷~$176M = ~15.9x.</t>
  </si>
  <si>
    <t>Bungie</t>
  </si>
  <si>
    <t>31-Jan-2022</t>
  </si>
  <si>
    <t>Sony Interactive Entertainment</t>
  </si>
  <si>
    <t>Strategic (private→strategic)</t>
  </si>
  <si>
    <t>Closed 15-Jul-2022; private→strategic; Destiny 2 live-service. Target was private; no public EBITDA disclosed — EV/EBITDA multiple not calculable from primary sources. EV/Revenue derived from estimated revenue ~$875M pre-deal.</t>
  </si>
  <si>
    <t>UK live-service racing (F1/DiRT); strongest direct UK comp. EV/LTM Adj EBITDA at announcement: £894.9M EV / £30.0M LTM Sep-2020 = 29.83x. Verified against InvestGame.net (29.8x) and reconstructs from Codemasters H1 FY21 RNS + EA Rule 2.7 announcement (SEC EDGAR CIK 712515). The trailing basis is the standard M&amp;A multiple — forward FY21 was ~16.5x and stale FY20 was ~50x; 29.8x is the period-correct LTM figure.</t>
  </si>
  <si>
    <t>EXPANDED-SET SUMMARY STATISTICS</t>
  </si>
  <si>
    <t>Mean (incl. seller precedent)</t>
  </si>
  <si>
    <t>Median (incl. seller precedent)</t>
  </si>
  <si>
    <t>Median ex-seller (live-service take-privates only)</t>
  </si>
  <si>
    <t>IMPLIED JAGEX EV — EXPANDED-SET MEDIAN MULTIPLES</t>
  </si>
  <si>
    <t>Median EV/EBITDA × $75M PF EBITDA</t>
  </si>
  <si>
    <t>Median EV/EBITDA × $56.4M Reported EBITDA</t>
  </si>
  <si>
    <t>Median EV/Revenue × $188.8M Revenue</t>
  </si>
  <si>
    <t>EXPANDED-SET INTERPRETATION</t>
  </si>
  <si>
    <t>The expanded set (Carlyle/Jagex 2021 + 4 live-service take-privates + Codemasters) yields a tighter and more directly comparable EV/EBITDA range than the broader 6-deal set above. The seller precedent (Carlyle/Jagex Jan 2021 at ~11.5x) sits well BELOW the live-service take-private median (~19-20x EV/EBITDA), reflecting the difference between (i) a sponsor secondary at trough EBITDA in a private-credit-tight 2021 environment, and (ii) strategic / take-private premiums in a 2022-2024 live-service consolidation wave. The CVC/Haveli 2024 deal at ~15x PF EBITDA sits between these poles, reflecting a sponsor secondary (lower than strategic premium) of a higher-quality asset (multiple expansion vs Carlyle 2021).</t>
  </si>
  <si>
    <t>JAGEX — DISCOUNTED CASH FLOW ANALYSIS</t>
  </si>
  <si>
    <t>Paper DCF with PitchBook-sourced base year | (£ in millions)</t>
  </si>
  <si>
    <t>KEY ASSUMPTIONS (yellow = editable)</t>
  </si>
  <si>
    <t>Base Revenue FY2023 (£M)</t>
  </si>
  <si>
    <t>PitchBook TTM $188.8M ÷ 1.27</t>
  </si>
  <si>
    <t>Base Reported EBITDA FY2023 (£M)</t>
  </si>
  <si>
    <t>PitchBook TTM $56.4M ÷ 1.27</t>
  </si>
  <si>
    <t>Base Pro Forma EBITDA FY2023 (£M)</t>
  </si>
  <si>
    <t>PitchBook $75M ÷ 1.263</t>
  </si>
  <si>
    <t>Revenue Growth Y1-Y2</t>
  </si>
  <si>
    <t>Paper: moderate (PitchBook shows 10.5% trailing)</t>
  </si>
  <si>
    <t>Revenue Growth Y3-Y5</t>
  </si>
  <si>
    <t>Paper: mature growth rate</t>
  </si>
  <si>
    <t>EBITDA Margin (use pro forma basis)</t>
  </si>
  <si>
    <t>Paper: 39.7% pro forma FY23 ($75M/$188.8M), assume slight expansion</t>
  </si>
  <si>
    <t>D&amp;A % of Revenue</t>
  </si>
  <si>
    <t>Derived: PitchBook D&amp;A ≈ £7.1M / £149M = 4.8%</t>
  </si>
  <si>
    <t>Tax Rate</t>
  </si>
  <si>
    <t>UK Corporation Tax (standard rate)</t>
  </si>
  <si>
    <t>CapEx % of Revenue</t>
  </si>
  <si>
    <t>Derived: intangible investment ~$8.7M/yr (FY23 growth) / $188.8M rev = 4.6%</t>
  </si>
  <si>
    <t>ΔNWC % of ΔRevenue</t>
  </si>
  <si>
    <t>Paper: subscription model = modest NWC needs</t>
  </si>
  <si>
    <t>WACC</t>
  </si>
  <si>
    <t>Paper: private company, gaming risk premium</t>
  </si>
  <si>
    <t>Terminal Growth Rate</t>
  </si>
  <si>
    <t>Paper: long-lived franchise, 25yr track record</t>
  </si>
  <si>
    <t>PROJECTED UNLEVERED FREE CASH FLOW</t>
  </si>
  <si>
    <t>FY2024E</t>
  </si>
  <si>
    <t>FY2025E</t>
  </si>
  <si>
    <t>FY2026E</t>
  </si>
  <si>
    <t>FY2027E</t>
  </si>
  <si>
    <t>FY2028E</t>
  </si>
  <si>
    <t>Revenue</t>
  </si>
  <si>
    <t>(-) D&amp;A</t>
  </si>
  <si>
    <t>(-) Taxes on EBIT</t>
  </si>
  <si>
    <t>NOPAT</t>
  </si>
  <si>
    <t>(+) D&amp;A Add-back</t>
  </si>
  <si>
    <t>(-) CapEx</t>
  </si>
  <si>
    <t>(-) Chg in NWC</t>
  </si>
  <si>
    <t>Unlevered Free Cash Flow</t>
  </si>
  <si>
    <t>Discount Factor</t>
  </si>
  <si>
    <t>PV of UFCF</t>
  </si>
  <si>
    <t>TERMINAL VALUE &amp; ENTERPRISE VALUE</t>
  </si>
  <si>
    <t>Terminal Value (Gordon Growth)</t>
  </si>
  <si>
    <t>UFCF_Y5 × (1+g) / (WACC-g)</t>
  </si>
  <si>
    <t>PV of Terminal Value</t>
  </si>
  <si>
    <t>Sum of PV of UFCFs</t>
  </si>
  <si>
    <t>Implied Enterprise Value (£M)</t>
  </si>
  <si>
    <t>TV as % of EV</t>
  </si>
  <si>
    <t>Implied EV / Pro Forma EBITDA</t>
  </si>
  <si>
    <t>Deal Price for Reference (£M)</t>
  </si>
  <si>
    <t>£900M ($1,136M / 1.2627)</t>
  </si>
  <si>
    <t>SENSITIVITY: IMPLIED EV (£M) — WACC vs Terminal Growth Rate</t>
  </si>
  <si>
    <t>WACC \ TGR</t>
  </si>
  <si>
    <t>WACC BUILD (CAPM)</t>
  </si>
  <si>
    <t>HOW WE BUILT THE WACC</t>
  </si>
  <si>
    <t>The WACC is the discount rate we apply to Jagex's projected cash flows in the DCF. It represents the blended return that capital providers — equity investors and lenders — would require to fund a business with this risk profile and capital structure. We construct it from first principles using the Capital Asset Pricing Model for the equity component and observable market spreads for debt, rather than picking a round number. Every input below is sourced to a primary dataset that a reader can independently verify.</t>
  </si>
  <si>
    <t>Risk-free rate — 4.32%</t>
  </si>
  <si>
    <t>The yield on the UK 10-year gilt in late May 2024, which is when the deal closed (14 May 2024). We use the 10-year tenor because it broadly matches the long-dated horizon of a going-concern enterprise valuation — using a short-dated rate (e.g. 1-year) would understate duration risk, while using a 30-year would overstate liquidity premium. We use UK gilts rather than US Treasuries because Jagex is a UK-domiciled company modeled in GBP; mixing currencies on the risk-free rate would introduce an unhedged FX assumption. Source: Bank of England yield curve archive.</t>
  </si>
  <si>
    <t>Equity risk premium — 5.01%</t>
  </si>
  <si>
    <t>The premium investors demand to hold UK equities over the risk-free rate, taken from Damodaran's January 2026 country risk premium dataset. It is built as 4.23% (the implied premium on mature developed markets, derived from S&amp;P 500 expected returns net of US Treasury yields) plus 0.78% (the UK-specific country risk premium reflecting Moody's Aa3 sovereign rating). We use the implied method rather than historical realized returns because implied premia are forward-looking and self-correcting to current market prices, while realized premia are backward-looking and sensitive to the chosen lookback window.</t>
  </si>
  <si>
    <t>Beta — unlevered 1.02, relevered 1.21</t>
  </si>
  <si>
    <t>Beta measures systematic risk — how much the asset moves with the broader market. We start from Damodaran's January 2026 sector data for "Software (Entertainment)," which covers 77 listed game publishers and is the cleanest available proxy for Jagex's business model. The cash-corrected unlevered beta for that sector is 1.02. We then relever this beta to Jagex's target capital structure using the Hamada equation: βL = βU × [1 + (1−t) × D/E]. With a target debt-to-capital of 20% (D/E ≈ 0.25) and a UK statutory tax rate of 25%, the relevering multiplier is 1.1875, producing a levered beta of 1.21. We chose Damodaran's sector beta over a peer-average computed from individual gaming companies because the public peer set is dominated by small-cap UK and Swedish issuers (Frontier Developments, Paradox Interactive, Everplay) whose individual betas suffer from severe measurement noise — Frontier's 5-year monthly beta against the FTSE 100 prints as negative, which is implausible for a discretionary consumer-tech business and reflects liquidity-driven mispricing rather than true systematic risk.</t>
  </si>
  <si>
    <t>Cost of equity — 10.4%</t>
  </si>
  <si>
    <t>Combining the components via CAPM: Re = Rf + βL × ERP = 4.32% + 1.21 × 5.01% = 10.4%. This is the return equity holders would demand to fund the deal at the assumed leverage profile. It sits comfortably within the 8-13% range typical for mid-cap UK technology and gaming names.</t>
  </si>
  <si>
    <t>After-tax cost of debt — 8.4%</t>
  </si>
  <si>
    <t>The all-in interest rate on Jagex's new senior debt, less the value of the interest tax shield. Pre-tax: SONIA at deal close was 5.20% (Bank of England IUDSOIA series, 14 May 2024); the credit margin of 600 basis points reflects PitchBook reporting on the Apollo/Oaktree/Permira unitranche facility, consistent with UK direct-lender pricing for similar 2024 vintage take-privates which ranged ~SONIA+550-700bps. The all-in pre-tax cost of 11.20% is then reduced by the 25% UK corporate tax rate to give 8.40% after-tax — debt service is deductible against UK profits, so the effective economic cost to the business is lower than the headline coupon.</t>
  </si>
  <si>
    <t>Capital structure — 80% equity / 20% debt</t>
  </si>
  <si>
    <t>The target long-run mix used to weight the two costs. We use a normalized capital structure rather than the LBO's entry leverage (which is materially higher at deal close) because the DCF values the business as a going concern beyond the immediate post-LBO period. Sponsors typically delever over the hold by paying down term debt with free cash flow; by Year 5, Jagex's leverage profile should normalize toward the sector average. A 20% debt weighting reflects the lighter long-run leverage typical of cash-generative live-service publishers.</t>
  </si>
  <si>
    <t>Resulting WACC — 10.0%</t>
  </si>
  <si>
    <t>WACC = (E/V × Re) + (D/V × Kd_after_tax) = (80% × 10.4%) + (20% × 8.4%) = 10.0%. The result is sensitive to capital-structure assumptions: at 30% target debt the WACC compresses to roughly 9.8%, and at 10% it expands to roughly 10.2%. The DCF sensitivity table at B43:G49 flexes WACC across the 8-12% range to capture this parameter uncertainty, with the base case anchored at 10.0%.</t>
  </si>
  <si>
    <t>CAPM BUILD (DETAIL)</t>
  </si>
  <si>
    <t>Cost of Equity (CAPM)</t>
  </si>
  <si>
    <t>Risk-free rate (UK 10yr gilt, May 2024)</t>
  </si>
  <si>
    <t>Late-May 2024 UK 10yr gilt yield 4.32% (BoE yield curve archive); May average sits in 4.30-4.35% range.</t>
  </si>
  <si>
    <t>Equity Risk Premium (UK total)</t>
  </si>
  <si>
    <t>Damodaran Jan-2026: 4.23% mature-market base + 0.78% UK country risk premium = 5.01% total ERP.</t>
  </si>
  <si>
    <t>Unlevered β (Software Entertainment, cash-corrected)</t>
  </si>
  <si>
    <t>Damodaran Jan-2026 "Software (Entertainment)" sector: n=77 firms, βU=1.01, cash-corrected βU=1.02. Pure-play game publisher bucket — directly comparable to Jagex.</t>
  </si>
  <si>
    <t>Relevering multiplier [1+(1-t)×D/E]</t>
  </si>
  <si>
    <t>Hamada relever: D/E from D/Cap = 0.25 (D/Cap=0.20 / E/Cap=0.80); tax rate 25%; multiplier = 1+0.75×0.25 = 1.1875.</t>
  </si>
  <si>
    <t>Levered β (relevered to LBO target capital structure)</t>
  </si>
  <si>
    <t>Software (Entertainment) βU 1.02 × relevering multiplier 1.1875 = 1.21. Peer average levered β (Paradox/Frontier/Everplay/TTWO/EA) ~0.83 is downward-biased by small-cap measurement noise (Frontier produces β=-0.10 vs FTSE 100 — implausible) and net-cash balance sheets; used as sanity check only.</t>
  </si>
  <si>
    <t>Cost of Equity (Re)</t>
  </si>
  <si>
    <t>CAPM: Rf + βL × ERP = 4.32% + 1.21 × 5.01% = 10.4%</t>
  </si>
  <si>
    <t>Pre-tax Cost of Debt (Rd)</t>
  </si>
  <si>
    <t>SONIA 5.20% (May 2024) + 600bps spread (illustrative)</t>
  </si>
  <si>
    <t>After-tax Cost of Debt</t>
  </si>
  <si>
    <t>Rd × (1 - tax rate of 25%)</t>
  </si>
  <si>
    <t>Target Debt / Capital</t>
  </si>
  <si>
    <t>Implied WACC</t>
  </si>
  <si>
    <t>WACC = E/V × Re + D/V × Kd(1-t)</t>
  </si>
  <si>
    <t>Note: model uses 10.0% WACC at C16 (paper assumption). The CAPM-derived WACC of 10.0% above reconciles exactly within rounding (Re 10.4% × 80% + Kd 8.4% × 20% = 10.0%). The sensitivity table at B43:G49 covers the WACC 8-12% range to capture parameter uncertainty.</t>
  </si>
  <si>
    <t>TERMINAL GROWTH RATE RATIONALE</t>
  </si>
  <si>
    <t>TGR 2.5% (C17) bracketed by: (i) UK long-run real GDP growth ~1.5-2.0%; (ii) UK long-run inflation target ~2.0%; (iii) live-service gaming nominal growth premium ~50-100bps over GDP+inflation due to "forever game" recurring revenue model and 67% PC player-hours on titles &gt;6 years old (Newzoo 2024). A 2.5% nominal terminal growth = real GDP + inflation - small premium for non-extrapolation. Sensitivity tested 1.5%-3.5%.</t>
  </si>
  <si>
    <t>FX CONVENTION</t>
  </si>
  <si>
    <t>FX rate: 1.2627 GBP/USD (May 2024 average per X-Rates). Close-day spot was 1.2598 (14 May 2024). Difference is &lt;0.3% — immaterial in all model outputs.</t>
  </si>
  <si>
    <t>JAGEX — LBO RETURNS ANALYSIS (PitchBook Actual)</t>
  </si>
  <si>
    <t>CVC/Haveli from Carlyle | Closed 14-May-2024 | (£M) | FX: 1.263</t>
  </si>
  <si>
    <t>SOURCES &amp; USES (PitchBook Actual)</t>
  </si>
  <si>
    <t>Sources</t>
  </si>
  <si>
    <t>Amount (£M)</t>
  </si>
  <si>
    <t>Amount ($M)</t>
  </si>
  <si>
    <t>x EBITDA</t>
  </si>
  <si>
    <t>% Total</t>
  </si>
  <si>
    <t>Term Loan (7yr, mat 13-May-2031)</t>
  </si>
  <si>
    <t>PitchBook Debt Summary: $130.63M TL, SONIA+600, 7yr</t>
  </si>
  <si>
    <t>Revolving Credit Facility</t>
  </si>
  <si>
    <t>PitchBook Debt Summary: $36.17M RCF, SONIA+600</t>
  </si>
  <si>
    <t>Total New Debt</t>
  </si>
  <si>
    <t>PitchBook: Total New Debt $164.15M</t>
  </si>
  <si>
    <t>Sponsor Equity (CVC VIII + Haveli)</t>
  </si>
  <si>
    <t>Residual: Deal Amount − Total Debt</t>
  </si>
  <si>
    <t>Total Sources = Deal Amount</t>
  </si>
  <si>
    <t>PitchBook: $1,136,109K; at 1.2627 = £900M (press: £910M)</t>
  </si>
  <si>
    <t>LENDERS AT ISSUANCE (PitchBook)</t>
  </si>
  <si>
    <t>Apollo Global Mgmt (Debt Solutions BDC)</t>
  </si>
  <si>
    <t>$72.02M TL + $19.94M RCF = $91.96M</t>
  </si>
  <si>
    <t>PitchBook Lenders #4-5</t>
  </si>
  <si>
    <t>Oaktree Capital Mgmt (Strategic Credit BDC)</t>
  </si>
  <si>
    <t>$56.53M TL + $15.66M RCF = $72.19M</t>
  </si>
  <si>
    <t>PitchBook Lenders #6-7</t>
  </si>
  <si>
    <t>Permira</t>
  </si>
  <si>
    <t>RCF + TL (amounts not disclosed)</t>
  </si>
  <si>
    <t>PitchBook Lenders #3, #8</t>
  </si>
  <si>
    <t>Oaktree Capital Mgmt (Mezzanine)</t>
  </si>
  <si>
    <t>TL + RCF (amounts not disclosed)</t>
  </si>
  <si>
    <t>PitchBook Lenders #1-2</t>
  </si>
  <si>
    <t>OPERATING ASSUMPTIONS (yellow = editable)</t>
  </si>
  <si>
    <t>Entry EV (£M)</t>
  </si>
  <si>
    <t>PitchBook: Implied EV $1.09B ÷ 1.263 → £863M; Deal Amount £903M used</t>
  </si>
  <si>
    <t>Pro Forma EBITDA at Entry (£M)</t>
  </si>
  <si>
    <t>PitchBook: $75M ÷ 1.263</t>
  </si>
  <si>
    <t>Entry Multiple (Deal/PF EBITDA)</t>
  </si>
  <si>
    <t>Calculated</t>
  </si>
  <si>
    <t>Reported EBITDA at Entry (£M)</t>
  </si>
  <si>
    <t>PitchBook TTM: $56.4M ÷ 1.27</t>
  </si>
  <si>
    <t>Entry Multiple (Deal/Rptd EBITDA)</t>
  </si>
  <si>
    <t>Calculated; PitchBook shows 20.13x</t>
  </si>
  <si>
    <t>Base Revenue (£M)</t>
  </si>
  <si>
    <t>PitchBook TTM: $188.8M ÷ 1.27</t>
  </si>
  <si>
    <t>Paper: moderate (trailing 10.5%)</t>
  </si>
  <si>
    <t>Paper: mature</t>
  </si>
  <si>
    <t>EBITDA Margin (Pro Forma basis)</t>
  </si>
  <si>
    <t>Paper: 39.7% PF FY23 + slight expansion</t>
  </si>
  <si>
    <t>D&amp;A % Revenue</t>
  </si>
  <si>
    <t>Derived: PitchBook D&amp;A £7.1M / £149M</t>
  </si>
  <si>
    <t>UK Corp Tax</t>
  </si>
  <si>
    <t>CapEx % Revenue</t>
  </si>
  <si>
    <t>Derived: intangible investment proxy; matches DCF assumption</t>
  </si>
  <si>
    <t>ΔNWC % ΔRevenue</t>
  </si>
  <si>
    <t>Paper</t>
  </si>
  <si>
    <t>SONIA Rate (at close)</t>
  </si>
  <si>
    <t>Bank of England: 5.20% (May 7 2024 onward)</t>
  </si>
  <si>
    <t>Spread (TL &amp; RCF)</t>
  </si>
  <si>
    <t>PitchBook: SONIA + 600bps</t>
  </si>
  <si>
    <t>All-in Interest Rate</t>
  </si>
  <si>
    <t>Calculated: SONIA + Spread</t>
  </si>
  <si>
    <t>Mandatory Amort (% orig TL)</t>
  </si>
  <si>
    <t>Paper: 1% p.a. standard</t>
  </si>
  <si>
    <t>Cash Sweep %</t>
  </si>
  <si>
    <t>Paper: 50% excess CF</t>
  </si>
  <si>
    <t>OPERATING MODEL</t>
  </si>
  <si>
    <t>Entry</t>
  </si>
  <si>
    <t>Year 1</t>
  </si>
  <si>
    <t>Year 2</t>
  </si>
  <si>
    <t>Year 3</t>
  </si>
  <si>
    <t>Year 4</t>
  </si>
  <si>
    <t>Year 5</t>
  </si>
  <si>
    <t>(-) Interest: Term Loan</t>
  </si>
  <si>
    <t>Total Interest Expense</t>
  </si>
  <si>
    <t>EBT</t>
  </si>
  <si>
    <t>(-) Taxes</t>
  </si>
  <si>
    <t>Net Income</t>
  </si>
  <si>
    <t>(+) D&amp;A</t>
  </si>
  <si>
    <t>Levered Free Cash Flow</t>
  </si>
  <si>
    <t>DEBT SCHEDULE (PitchBook Actual Structure)</t>
  </si>
  <si>
    <t>Term Loan — Beginning</t>
  </si>
  <si>
    <t>(-) Mandatory Amortization</t>
  </si>
  <si>
    <t>(-) Cash Sweep Paydown</t>
  </si>
  <si>
    <t>Term Loan — Ending</t>
  </si>
  <si>
    <t>Total Debt Outstanding</t>
  </si>
  <si>
    <t>Leverage (Debt / Pro Forma EBITDA)</t>
  </si>
  <si>
    <t>Interest Coverage (EBITDA / Interest)</t>
  </si>
  <si>
    <t>RETURNS ANALYSIS — MOIC &amp; IRR</t>
  </si>
  <si>
    <t>Exit EV/EBITDA</t>
  </si>
  <si>
    <t>Year 3 Exit</t>
  </si>
  <si>
    <t>Year 4 Exit</t>
  </si>
  <si>
    <t>Year 5 Exit</t>
  </si>
  <si>
    <t>MOIC</t>
  </si>
  <si>
    <t>IRR</t>
  </si>
  <si>
    <t>SELLER RETURN — CARLYLE GROUP</t>
  </si>
  <si>
    <t>Carlyle Entry (Jan 2021, $M)</t>
  </si>
  <si>
    <t>Carlyle Exit (May 2024, $M)</t>
  </si>
  <si>
    <t>PitchBook: Deal Amount $1,136,109K</t>
  </si>
  <si>
    <t>Holding Period (yrs)</t>
  </si>
  <si>
    <t>Jan 2021 → May 2024</t>
  </si>
  <si>
    <t>Implied MOIC</t>
  </si>
  <si>
    <t>Implied IRR</t>
  </si>
  <si>
    <t>MODELING NOTES</t>
  </si>
  <si>
    <t>RCF ($28.6M/£22.7M) assumed UNDRAWN in debt schedule. Available for liquidity only. Interest calculated on Term Loan balance only. Standard practice for paper LBO. Carlyle-era group-level debt (CH charges 0004 and 0005) was repaid at the 15-May-2024 close — see Deal Summary rows 96-100 for detail.</t>
  </si>
  <si>
    <t>Mandatory amortization (1% p.a.) is a paper assumption — no credit agreement terms disclosed. Standard for broadly syndicated leveraged loans.</t>
  </si>
  <si>
    <t>Cash sweep (50%) is a paper assumption — standard range is 25-75%. Apollo/Oaktree as direct lenders may negotiate different terms.</t>
  </si>
  <si>
    <t>SONIA rate of 5.20% reflects deal-close rate (May 2024). BoE has since cut rates; forward-looking analysis should consider declining rate environment.</t>
  </si>
  <si>
    <t>CapEx proxy uses intangible investment (4.5% of rev) since PitchBook shows 0% traditional CapEx. Jagex capitalizes game development costs as intangible assets.</t>
  </si>
  <si>
    <t>EBITDA margin of 40% uses Pro Forma basis ($75M/$188.8M = 39.7%). Reported FY2024 margin of 19.8% reflects post-acquisition reinvestment, not normalized earning power.</t>
  </si>
  <si>
    <t>MODELING NOTES (additional)</t>
  </si>
  <si>
    <t>Lender identities (B13:C16) — Apollo $91.96M, Oaktree $72.19M, Permira (undisclosed) — are sourced to PitchBook reporting. No open-source corroboration in Reorg, Debtwire, FT, Bloomberg, sponsor releases, or Companies House (paid PDF instrument required for primary verification). Marked ILLUSTRATIVE (yellow fill).</t>
  </si>
  <si>
    <t>SONIA + 600bps pricing (C32:C33) — from PitchBook reporting. UK direct-lender unitranche pricing for similar 2024 deals ranged ~SONIA+550-700bps based on sector reporting; 600bps is a plausible midpoint. Marked ILLUSTRATIVE. Debt schedule uses SONIA at close (5.20% on 14-May-2024 per BoE IUDSOIA) held flat for modeling simplicity; actual 2024 path stepped down to 5.0% (Aug) and 4.70% (Nov) following BoE Bank Rate cuts.</t>
  </si>
  <si>
    <t>Note on Carlyle-era debt: At the operating company level (Jagex Ltd #03982706), funded debt was zero. At the group level, Carlyle-era acquisition debt was secured under Companies House charges 0004 (Lucid Trustee, May 2021) and 0005 (Kroll Trustee, June 2023), both satisfied 15 May 2024. CVC/Haveli debt (charge 0006, Sep 2024) cascaded from Janus Bidco to opco at close.</t>
  </si>
  <si>
    <t>MANAGEMENT INCENTIVE PLAN (MIP)</t>
  </si>
  <si>
    <t>Standard PE deal feature: 8-12% of fully-diluted equity reserved for management sweet equity, with time-vesting plus performance vesting typically gated on sponsor MOIC &gt;= 2.0x. Returns above the hurdle are diluted by the MIP %.</t>
  </si>
  <si>
    <t>MIP % of fully-diluted equity</t>
  </si>
  <si>
    <t>Assumption: 10% (industry midpoint). Jon Bellamy CVC-appointed CEO suggests active MIP.</t>
  </si>
  <si>
    <t>MIP vesting hurdle (Sponsor MOIC)</t>
  </si>
  <si>
    <t>Below 2.0x MOIC: MIP = 0. Above: MIP participates pro rata in excess returns.</t>
  </si>
  <si>
    <t>Reference exit case (for illustration)</t>
  </si>
  <si>
    <t>15x Exit EV/EBITDA at Year 5</t>
  </si>
  <si>
    <t>Base case; MIP dilution varies by exit multiple — see Section D.</t>
  </si>
  <si>
    <t>Gross Sponsor Equity Proceeds at 15x Y5 (£M)</t>
  </si>
  <si>
    <t>Formula: 15 × Y5 EBITDA − Y5 debt</t>
  </si>
  <si>
    <t>MIP Dilution Applied (£M)</t>
  </si>
  <si>
    <t>Pro rata on excess above 2.0x MOIC hurdle</t>
  </si>
  <si>
    <t>Net Sponsor Equity Proceeds (£M)</t>
  </si>
  <si>
    <t>Sponsor MOIC (pre-MIP)</t>
  </si>
  <si>
    <t>MIP dilution impact on MOIC</t>
  </si>
  <si>
    <t>Absolute MOIC points lost to MIP</t>
  </si>
  <si>
    <t>OPERATING SCENARIOS</t>
  </si>
  <si>
    <t>Three cases: Base (as-built, matches existing operating model), Upside (stronger live-service monetization + successful Dragonwilds franchise extension), Downside (FY24 margin compression proves persistent; revenue growth slows toward UK gaming sector average). Each case shows 5-year projections and sponsor returns at 15x Y5 exit.</t>
  </si>
  <si>
    <t>Assumption</t>
  </si>
  <si>
    <t>Rationale</t>
  </si>
  <si>
    <t>Revenue growth Y1-Y2</t>
  </si>
  <si>
    <t>Base matches the as-built operating model; Upside assumes Dragonwilds Steam EA success; Downside reflects UK gaming sector deceleration</t>
  </si>
  <si>
    <t>Revenue growth Y3-Y5</t>
  </si>
  <si>
    <t>Base: mature growth; Upside: sustained acceleration; Downside: near-flat</t>
  </si>
  <si>
    <t>EBITDA margin (pro forma basis)</t>
  </si>
  <si>
    <t>Base matches original; Upside: operating leverage; Downside: FY24 compression persists</t>
  </si>
  <si>
    <t>Y5 Revenue (£M)</t>
  </si>
  <si>
    <t>Formula: C24 × (1+g1)² × (1+g2)³</t>
  </si>
  <si>
    <t>Y5 EBITDA (£M)</t>
  </si>
  <si>
    <t>Y5 revenue × margin</t>
  </si>
  <si>
    <t>Y5 Debt (£M)</t>
  </si>
  <si>
    <t>Base/Upside: £0 per debt schedule (full paydown). Downside: assume ~£10M residual TL given weaker FCF sweep.</t>
  </si>
  <si>
    <t>Exit EV at 15x Y5 EBITDA (£M)</t>
  </si>
  <si>
    <t>15.0x × Y5 EBITDA</t>
  </si>
  <si>
    <t>Exit Sponsor Equity (gross) £M</t>
  </si>
  <si>
    <t>Exit EV − Y5 debt</t>
  </si>
  <si>
    <t>MIP dilution (£M)</t>
  </si>
  <si>
    <t>Applies only above 2.0x MOIC hurdle</t>
  </si>
  <si>
    <t>Net Exit Sponsor Equity (£M)</t>
  </si>
  <si>
    <t>Sponsor MOIC (post-MIP, 5yr)</t>
  </si>
  <si>
    <t>Sponsor IRR (post-MIP, 5yr)</t>
  </si>
  <si>
    <t>Interpretation: Upside case demonstrates CVC/Haveli's thesis — sustained live-service growth + margin expansion drives IRR above the 2.0x hurdle, with meaningful MIP dilution. Downside case illustrates the primary risk — FY24 margin compression persisting reduces returns below hurdle, making the deal marginally attractive. The deal's 85% equity funding limits downside but also caps upside leverage.</t>
  </si>
  <si>
    <t>RETURNS ATTRIBUTION (5yr Exit at 15x EV/EBITDA, Base Case)</t>
  </si>
  <si>
    <t>Decomposes the sponsor's 5-year return into three drivers: (1) EBITDA growth from Entry EBITDA to Y5 EBITDA at the entry multiple; (2) multiple expansion/contraction from entry multiple to exit multiple applied to Y5 EBITDA; (3) deleveraging from debt paydown during the hold. Pre-MIP basis.</t>
  </si>
  <si>
    <t>STEP-BY-STEP EQUITY VALUE BUILD</t>
  </si>
  <si>
    <t>Entry Sponsor Equity (£M)</t>
  </si>
  <si>
    <t>Existing model: Deal Amount − Entry Debt</t>
  </si>
  <si>
    <t>(a) Entry Enterprise Value (£M)</t>
  </si>
  <si>
    <t>Entry multiple × Entry PF EBITDA</t>
  </si>
  <si>
    <t>(b) Pro-forma EV @ Y5 EBITDA × Entry multiple (£M)</t>
  </si>
  <si>
    <t>Isolates EBITDA growth effect (multiple held constant)</t>
  </si>
  <si>
    <t>(c) Exit EV @ 15x Y5 EBITDA (£M)</t>
  </si>
  <si>
    <t>Isolates multiple change effect (EBITDA at Y5)</t>
  </si>
  <si>
    <t>(d) Exit Sponsor Equity (£M)</t>
  </si>
  <si>
    <t>ATTRIBUTION BUILDUP</t>
  </si>
  <si>
    <t>1. EBITDA Growth contribution (£M)</t>
  </si>
  <si>
    <t>(b) − (a): EV gain from EBITDA growth alone</t>
  </si>
  <si>
    <t>2. Multiple Change contribution (£M)</t>
  </si>
  <si>
    <t>(c) − (b): EV gain/loss from multiple expansion/contraction</t>
  </si>
  <si>
    <t>3. Deleveraging contribution (£M)</t>
  </si>
  <si>
    <t>Entry committed debt (TL + RCF commitment) − Y5 debt. Matches Sources &amp; Uses convention.</t>
  </si>
  <si>
    <t>Total equity value created (£M)</t>
  </si>
  <si>
    <t>Sum of three drivers</t>
  </si>
  <si>
    <t>Reconciliation: Exit equity − Entry equity (£M)</t>
  </si>
  <si>
    <t>Should match row 151 within rounding</t>
  </si>
  <si>
    <t>ATTRIBUTION AS % OF TOTAL EQUITY VALUE CREATED</t>
  </si>
  <si>
    <t>EBITDA Growth %</t>
  </si>
  <si>
    <t>Operational drivers</t>
  </si>
  <si>
    <t>Multiple Change %</t>
  </si>
  <si>
    <t>Market drivers (negative if exit &lt; entry)</t>
  </si>
  <si>
    <t>Deleveraging %</t>
  </si>
  <si>
    <t>Financial engineering</t>
  </si>
  <si>
    <t>Reading: if the EBITDA-growth % dominates, the thesis is operational. If multiple-change % dominates, the thesis is market-timing. If deleveraging % dominates, the thesis is financial engineering. For the Jagex deal (15.2x entry, 15.0x exit, 2.2x entry leverage fully repaid), the thesis is heavily operational — consistent with CVC's "reinvest into new IP content" positioning. Note that at lower exit multiples (e.g., 13x vs 15x entry), the Multiple Change contribution turns negative and EBITDA growth must carry the entire return.</t>
  </si>
  <si>
    <t>ENTRY × EXIT MULTIPLE SENSITIVITY (5yr, Sponsor MOIC post-MIP)</t>
  </si>
  <si>
    <t>Holds Y5 EBITDA, Y5 debt, and operating model constant at Base-case values. Varies (i) the hypothetical entry multiple — which re-implies a different entry EV and therefore different sponsor equity check at constant debt £132M — and (ii) the exit multiple. Each cell is sponsor MOIC (post-MIP) at 5-year exit. The actual deal closed at ~15.2x entry; off-diagonal cells show multiple expansion/contraction outcomes.</t>
  </si>
  <si>
    <t>Entry Mult ↓ / Exit Mult →</t>
  </si>
  <si>
    <t>Note: this table sweeps hypothetical entry multiples — the actual deal entry was 15.2x (£903M / £59.4M). At the diagonal (entry = exit multiple), returns come purely from EBITDA growth and deleveraging. Above diagonal = multiple expansion; below diagonal = multiple contraction. The deal's pre-MIP 2.0x MOIC hurdle is binding at roughly 15x entry × 14x exit (just below the hurdle) — above that, MIP dilution kicks in.</t>
  </si>
  <si>
    <t>EXIT EV-TO-EQUITY BRIDGE (5yr exit, Base case)</t>
  </si>
  <si>
    <t>Standard exit mechanics: Gross Exit EV → less (net debt, transaction costs, working-capital adjustment, escrow) = Equity Proceeds to sellers. Model previously used simplified Exit EV − Y5 Debt. Refined bridge below.</t>
  </si>
  <si>
    <t>EXIT BRIDGE (£M, 15x Y5 exit, Base case)</t>
  </si>
  <si>
    <t>Exit Enterprise Value (15x × Y5 EBITDA)</t>
  </si>
  <si>
    <t>15.0x multiple × Y5 EBITDA from operating model</t>
  </si>
  <si>
    <t>(−) Y5 total debt</t>
  </si>
  <si>
    <t>From debt schedule H61; full TL paydown at Y5</t>
  </si>
  <si>
    <t>(+) Y5 residual cash balance</t>
  </si>
  <si>
    <t>Assumption: minimum operating cash at exit (~£20-30M typical for £200M-rev business)</t>
  </si>
  <si>
    <t>(−) Transaction fees (1.5% of EV)</t>
  </si>
  <si>
    <t>Sell-side advisor + legal fees. 1.0-2.0% range for £1B+ deals.</t>
  </si>
  <si>
    <t>(−) Working-capital adjustment (vs target)</t>
  </si>
  <si>
    <t>Assumption: neutral (deal at target NWC). Deferred revenue complicates for subscription biz.</t>
  </si>
  <si>
    <t>(−) Escrow / representations (2% of equity)</t>
  </si>
  <si>
    <t>Held in escrow 12-24mo for reps/warranties; typically 1-3% equity</t>
  </si>
  <si>
    <t>Equity proceeds to selling sponsors (gross, pre-MIP)</t>
  </si>
  <si>
    <t>(−) MIP dilution</t>
  </si>
  <si>
    <t>MIP 10% applied to excess over 2.0x MOIC hurdle</t>
  </si>
  <si>
    <t>Net proceeds to sponsors (post-MIP, pre-fund-mechanics)</t>
  </si>
  <si>
    <t>Implied sponsor MOIC (post-MIP)</t>
  </si>
  <si>
    <t>Implied sponsor IRR (post-MIP, 5yr)</t>
  </si>
  <si>
    <t>Comparison to simplified exit (Section A, C107-C112): the refined bridge typically reduces exit equity by ~£5-20M through fees + escrow offset partially by exit cash. Net IRR impact is roughly -30 to -60bps. Precision matters for professor Q&amp;A but does not change the deal's investment conclusion.</t>
  </si>
  <si>
    <t>PE FUND WATERFALL (Gross Sponsor vs Net LP Returns)</t>
  </si>
  <si>
    <t>Converts gross deal-level sponsor IRR to net LP IRR after standard PE fund economics: (i) 2% annual management fee on committed capital; (ii) 8% preferred return hurdle to LPs; (iii) 20% carry to GP on returns above preferred, subject to 100% catch-up; (iv) European-style whole-fund waterfall. Applied at the single-deal level as a simplified proxy.</t>
  </si>
  <si>
    <t>FUND ECONOMIC ASSUMPTIONS</t>
  </si>
  <si>
    <t>Management fee (% of commitment p.a.)</t>
  </si>
  <si>
    <t>2% standard (CVC Fund VIII investor materials; industry median)</t>
  </si>
  <si>
    <t>Preferred return / hurdle rate</t>
  </si>
  <si>
    <t>8% standard preferred return</t>
  </si>
  <si>
    <t>Carried interest %</t>
  </si>
  <si>
    <t>20% standard carry</t>
  </si>
  <si>
    <t>Catch-up %</t>
  </si>
  <si>
    <t>100% catch-up (GP receives all above-hurdle returns until pro rata with LPs)</t>
  </si>
  <si>
    <t>Hold period (years)</t>
  </si>
  <si>
    <t>GROSS-TO-NET WATERFALL</t>
  </si>
  <si>
    <t>Gross sponsor equity invested (£M)</t>
  </si>
  <si>
    <t>Gross sponsor exit proceeds post-MIP (£M)</t>
  </si>
  <si>
    <t>From exit bridge C188</t>
  </si>
  <si>
    <t>Gross equity value created (£M)</t>
  </si>
  <si>
    <t>Cumulative mgmt fees (£M)</t>
  </si>
  <si>
    <t>Commitment × 2% × 5yrs (simplified; real funds step down fees after investment period)</t>
  </si>
  <si>
    <t>LP capital + preferred return (£M)</t>
  </si>
  <si>
    <t>Commitment × (1+8%)^5; LPs receive this before GP gets carry</t>
  </si>
  <si>
    <t>Proceeds above LP hurdle (£M)</t>
  </si>
  <si>
    <t>Amount available for GP catch-up + carry distribution</t>
  </si>
  <si>
    <t>GP carry (£M)</t>
  </si>
  <si>
    <t>20% of proceeds above preferred return</t>
  </si>
  <si>
    <t>NET LP PROCEEDS (£M)</t>
  </si>
  <si>
    <t>Gross exit − Mgmt fees − Carry</t>
  </si>
  <si>
    <t>LP MOIC (net)</t>
  </si>
  <si>
    <t>LP IRR (net, 5yr)</t>
  </si>
  <si>
    <t>COMPARISON TABLE</t>
  </si>
  <si>
    <t>IRR (5yr)</t>
  </si>
  <si>
    <t>Deal-level gross (before MIP)</t>
  </si>
  <si>
    <t>Deal-level post-MIP</t>
  </si>
  <si>
    <t>Fund-level LP net</t>
  </si>
  <si>
    <t>Gross-to-net drag (IRR bps)</t>
  </si>
  <si>
    <t>Reading: gross-to-net drag is typically 200-400bps. If the LP net IRR at this deal is below 8% (the preferred return), LPs receive no carry but GPs still collect management fees — a scenario that is possible at Downside case returns. This is the realism check on whether the deal pencils from the LP investor's perspective, not just the sponsor-company perspective.</t>
  </si>
  <si>
    <t>VALUATION FOOTBALL FIELD — IMPLIED ENTERPRISE VALUE</t>
  </si>
  <si>
    <t>Summary of all valuation methodologies | Deal Price: $1,136M | FX: 1.2627 GBP/USD (May 2024)</t>
  </si>
  <si>
    <t>Methodology</t>
  </si>
  <si>
    <t>Low ($M)</t>
  </si>
  <si>
    <t>High ($M)</t>
  </si>
  <si>
    <t>Midpoint ($M)</t>
  </si>
  <si>
    <t>Deal ($1,136M)</t>
  </si>
  <si>
    <t>Source / Notes</t>
  </si>
  <si>
    <t>CCA (EV/EBITDA, PitchBook comps 25th pctl to 75th pctl)</t>
  </si>
  <si>
    <t>CCA Tab — PitchBook 8 gaming comps, 25th-75th EV/EBITDA (4.0x-12.5x) × $75M PF EBITDA. USD</t>
  </si>
  <si>
    <t>PTA (EV/EBITDA, PitchBook M&amp;A comps 25th pctl to 75th pctl)</t>
  </si>
  <si>
    <t>PTA Tab — PitchBook 6 gaming M&amp;A comps 2021-2025, 25th-75th EV/EBITDA (4.98x-15.79x) × $75M PF EBITDA. USD</t>
  </si>
  <si>
    <t>DCF (WACC 8.0% - 12.0%, Terminal Growth 1.5% - 3.5%)</t>
  </si>
  <si>
    <t>DCF Tab — Sensitivity table: WACC 12%/TGR 1.5% (low) to WACC 8%/TGR 3.5% (high). Converted from £463M-£1,024M at 1.2627</t>
  </si>
  <si>
    <t>LBO Analysis (Sponsor Returns at 15-18x Exit)</t>
  </si>
  <si>
    <t>LBO Tab — Range reverse-engineered from the IRR sensitivity table (LBO Model B65:H75): entry prices that yield 15-20% Gross IRR at 15x-18x Exit EV/EBITDA over a 5yr hold. Converted from £617M-£852M at FX 1.2627.</t>
  </si>
  <si>
    <t>PTA — Live-service / take-private set</t>
  </si>
  <si>
    <t>Expanded set: Carlyle/Jagex 2021 + Activision/Zynga/Bungie/Keywords + Codemasters. PTA tab rows 59-64.</t>
  </si>
  <si>
    <t>DEAL PRICE: $1,136M (~£900M)</t>
  </si>
  <si>
    <t>Enterprise Value: $1,087M implied EV / $1,136M deal amount | 15.1x Pro Forma EBITDA ($75M)</t>
  </si>
  <si>
    <t>Deal underwritten at 19.25x Implied EV / Reported EBITDA (20.13x Deal / Reported EBITDA)</t>
  </si>
  <si>
    <t>CHART DATA (stacked bar: Invisible Base + Range)</t>
  </si>
  <si>
    <t>Invisible Base</t>
  </si>
  <si>
    <t>Range (High - Low)</t>
  </si>
  <si>
    <t>Deal Price</t>
  </si>
  <si>
    <t>LBO analysis (15% – 20% IRR at 15x – 18x exit)</t>
  </si>
  <si>
    <t>Discounted cash flow analysis (8.0% – 12.0% WACC)</t>
  </si>
  <si>
    <t>Precedent transactions analysis (EV / EBITDA)</t>
  </si>
  <si>
    <t>Comparable companies analysis (EV / EBITDA)</t>
  </si>
  <si>
    <t>CHART VALUES:</t>
  </si>
  <si>
    <t>CCA: $299M — $933M  |  PTA: $374M — $1,184M  |  DCF: $585M — $1,293M  |  LBO: $779M — $1,076M  |  Deal: $1,136M</t>
  </si>
  <si>
    <t>All values converted from £ to $ at 1.2627 GBP/USD (May 2024 average, X-Rates.com) — deal-close FX rate</t>
  </si>
  <si>
    <t>METHODOLOGY NOTES</t>
  </si>
  <si>
    <t>Row 9: Live-service / take-private precedent set — uses Microsoft/Activision, Take-Two/Zynga, Sony/Bungie, EQT/Keywords plus the seller precedent (Carlyle/Jagex 2021) plus Codemasters. Median ~19.5x EV/EBITDA × $75M PF EBITDA implies ~$1.46B EV — closer to the deal price than the broader PTA range ($374M-$1,184M).</t>
  </si>
  <si>
    <t>Row 6 retained for reference. The broader 6-deal PTA understates the implied range because three of the six deals (astragon, Coffee Stain, Thunderful) are small-cap or restructuring transactions not directly comparable to a $1.1B live-service buyout.</t>
  </si>
  <si>
    <t>No fairness opinion exists for this private-to-private deal. The Football Field serves as the primary cross-method valuation reference. Deal price $1,136M sits at the high end of CCA, near midpoint of the live-service PTA set, and within the DCF range.</t>
  </si>
  <si>
    <t>SOURCE LOG — ALL DATA CITATIONS</t>
  </si>
  <si>
    <t>#</t>
  </si>
  <si>
    <t>Data Points</t>
  </si>
  <si>
    <t>URL / Reference</t>
  </si>
  <si>
    <t>Date</t>
  </si>
  <si>
    <t>Tier</t>
  </si>
  <si>
    <t>Deal amount $1.14B, EV $1.09B, PF EBITDA $75M, debt $164.15M, type, status, date, employees, CEO, % acquired</t>
  </si>
  <si>
    <t>PitchBook Data, Inc. (accessed Apr 2026)</t>
  </si>
  <si>
    <t>May 2024</t>
  </si>
  <si>
    <t>PitchBook Debt Summary</t>
  </si>
  <si>
    <t>TL $130.63M SONIA+600 7yr mat 13-May-2031; RCF $36.17M SONIA+600</t>
  </si>
  <si>
    <t>PitchBook Data, Inc.</t>
  </si>
  <si>
    <t>PitchBook Investors</t>
  </si>
  <si>
    <t>CVC Fund VIII (Lead: N.Clarry); Haveli (Lead: B.Sheth)</t>
  </si>
  <si>
    <t>Feb 2024</t>
  </si>
  <si>
    <t>PitchBook Advisors</t>
  </si>
  <si>
    <t>GS (CVC+Haveli), Aream/Liberty/MS (Jagex), Apollo/Oaktree (debt), L&amp;W/K&amp;E (legal)</t>
  </si>
  <si>
    <t>2024</t>
  </si>
  <si>
    <t>Carlyle full exit $1.14B, CP VII + CETP IV, 100% sold</t>
  </si>
  <si>
    <t>PitchBook Lenders</t>
  </si>
  <si>
    <t>Apollo $91.96M, Oaktree $72.19M, Permira (undisclosed)</t>
  </si>
  <si>
    <t>PitchBook Financials TTM</t>
  </si>
  <si>
    <t>Rev $188.8M, GP $161.3M, EBITDA $56.4M, EBIT $47.4M, NI $48.9M, BS full</t>
  </si>
  <si>
    <t>PitchBook Data, Inc. (TTM Dec 2023)</t>
  </si>
  <si>
    <t>EV/EBITDA 19.25x, EV/Rev 5.76x, Deal/EBITDA 20.13x, Debt/EBITDA 2.91x</t>
  </si>
  <si>
    <t>EBITDA margin 29.90%, rev growth 10.51%, current ratio 2.63x</t>
  </si>
  <si>
    <t>Carlyle PR</t>
  </si>
  <si>
    <t>Deal overview, advisors, subs 2.4M, employees 700</t>
  </si>
  <si>
    <t>carlyle.com</t>
  </si>
  <si>
    <t>Feb 9 2024</t>
  </si>
  <si>
    <t>CVC PR</t>
  </si>
  <si>
    <t>Deal confirmation, franchise details</t>
  </si>
  <si>
    <t>cvc.com</t>
  </si>
  <si>
    <t>Jagex PR</t>
  </si>
  <si>
    <t>Deal confirmation, record subs, $1.5B lifetime rev</t>
  </si>
  <si>
    <t>jagex.com</t>
  </si>
  <si>
    <t>Wikipedia — Jagex</t>
  </si>
  <si>
    <t>£910M price, ownership history, CEO succession</t>
  </si>
  <si>
    <t>en.wikipedia.org/wiki/Jagex</t>
  </si>
  <si>
    <t>Apr 2026</t>
  </si>
  <si>
    <t>Tech.eu</t>
  </si>
  <si>
    <t>$1.1B speculation, Carlyle $530M entry</t>
  </si>
  <si>
    <t>tech.eu</t>
  </si>
  <si>
    <t>PE Insights</t>
  </si>
  <si>
    <t>£910M, fund structure</t>
  </si>
  <si>
    <t>pe-insights.com</t>
  </si>
  <si>
    <t>Naavik Digest</t>
  </si>
  <si>
    <t>EBITDA £60M, rev £108.6-£124.9M, subs, ownership</t>
  </si>
  <si>
    <t>naavik.co/digest/jagex-uncertain-future</t>
  </si>
  <si>
    <t>Oct 13 2023</t>
  </si>
  <si>
    <t>PocketGamer.biz</t>
  </si>
  <si>
    <t>EBITDA £60M ($75M), +10% expected growth</t>
  </si>
  <si>
    <t>pocketgamer.biz</t>
  </si>
  <si>
    <t>Sep 8 2023</t>
  </si>
  <si>
    <t>PCGamesInsider</t>
  </si>
  <si>
    <t>FY18 rev £92.8M: subs £67.6M, MTX £24.6M; HC 337</t>
  </si>
  <si>
    <t>pcgamesinsider.biz</t>
  </si>
  <si>
    <t>Jun 2019</t>
  </si>
  <si>
    <t>MassivelyOP</t>
  </si>
  <si>
    <t>FY20: +10% rev growth, +38% MTX, +7% subs</t>
  </si>
  <si>
    <t>massivelyop.com</t>
  </si>
  <si>
    <t>Jan 2022</t>
  </si>
  <si>
    <t>Companies House</t>
  </si>
  <si>
    <t>Jagex Ltd #03982706, filed accounts</t>
  </si>
  <si>
    <t>find-and-update...gov.uk</t>
  </si>
  <si>
    <t>Ongoing</t>
  </si>
  <si>
    <t>Bank of England</t>
  </si>
  <si>
    <t>SONIA rate 5.20% (May 7 2024 onward)</t>
  </si>
  <si>
    <t>bankunderground.co.uk</t>
  </si>
  <si>
    <t>Aug 2024</t>
  </si>
  <si>
    <t>X-Rates.com</t>
  </si>
  <si>
    <t>GBP/USD May 2024 avg 1.2627</t>
  </si>
  <si>
    <t>x-rates.com</t>
  </si>
  <si>
    <t>PitchBook Annual Financials</t>
  </si>
  <si>
    <t>Full IS/BS/CF/Ratios FY2009-FY2024 ($000s USD)</t>
  </si>
  <si>
    <t>PitchBook Data, Inc. (annual statements)</t>
  </si>
  <si>
    <t>Jagex PR (CEO Transition)</t>
  </si>
  <si>
    <t>Jon Bellamy appointed CEO Mar 4 2025; $2B+ lifetime rev</t>
  </si>
  <si>
    <t>jagex.com/news/jagex-announces-ceo-transition</t>
  </si>
  <si>
    <t>Mar 4 2025</t>
  </si>
  <si>
    <t>PC Games Insider (CEO)</t>
  </si>
  <si>
    <t>Bellamy was CVC advisor pre-appointment; prev Jagex 2015-18</t>
  </si>
  <si>
    <t>pcgamesinsider.biz/news/75012/</t>
  </si>
  <si>
    <t>Game Developer</t>
  </si>
  <si>
    <t>Bellamy CVC advisor connection confirmed; Mansell 14yr tenure</t>
  </si>
  <si>
    <t>gamedeveloper.com</t>
  </si>
  <si>
    <t>PitchBook CCA Comps</t>
  </si>
  <si>
    <t>8-comp set: Square Enix, NCsoft, Stillfront, Gravity, Pearl Abyss, Paradox, Everplay, Frontier</t>
  </si>
  <si>
    <t>PitchBook Data, Inc. (Comps Overview)</t>
  </si>
  <si>
    <t>Apr 15 2026</t>
  </si>
  <si>
    <t>PitchBook M&amp;A Comps (PTA)</t>
  </si>
  <si>
    <t>Sybo, Codemasters, Climax, astragon, Coffee Stain, Thunderful — EV/EBITDA &amp; EV/Rev multiples</t>
  </si>
  <si>
    <t>PitchBook Data, Inc. (MnA Comps Tab)</t>
  </si>
  <si>
    <t>PRIMARY SOURCES (Tier 1 — Companies House)</t>
  </si>
  <si>
    <t>29</t>
  </si>
  <si>
    <t>Companies House — Jagex Ltd (#03982706)</t>
  </si>
  <si>
    <t>FY2023 accounts (filed 13-Mar-2025), FY2024 accounts (filed 4-Jun-2025), FY2022 accounts (filed 4-Apr-2024)</t>
  </si>
  <si>
    <t>https://find-and-update.company-information.service.gov.uk/company/03982706/filing-history</t>
  </si>
  <si>
    <t>Apr 2024 - Jun 2025</t>
  </si>
  <si>
    <t>Tier 1</t>
  </si>
  <si>
    <t>30</t>
  </si>
  <si>
    <t>Companies House — Jagex Charges Register</t>
  </si>
  <si>
    <t>Charge 0004 (Lucid 7-May-2021, satisfied 15-May-2024); Charge 0005 (Kroll 20-Jun-2023, satisfied); Charge 0006 (Kroll 10-Sep-2024, outstanding)</t>
  </si>
  <si>
    <t>https://find-and-update.company-information.service.gov.uk/company/03982706/charges</t>
  </si>
  <si>
    <t>May 2021 - Sep 2024</t>
  </si>
  <si>
    <t>31</t>
  </si>
  <si>
    <t>Companies House — Janus Bidco Limited (#15451932)</t>
  </si>
  <si>
    <t>Inc. 30-Jan-2024; MR01 charge created 25-Apr-2024 (40pp); SH01 share allotment 14-May-2024 in USD; consolidated FY24 accounts filed 7-Oct-2025 (75pp)</t>
  </si>
  <si>
    <t>https://find-and-update.company-information.service.gov.uk/company/15451932/filing-history</t>
  </si>
  <si>
    <t>Jan 2024 - Oct 2025</t>
  </si>
  <si>
    <t>32</t>
  </si>
  <si>
    <t>Companies House — Janus Midco Limited (#15451988)</t>
  </si>
  <si>
    <t>Intermediate holdco; Inc. 30-Jan-2024</t>
  </si>
  <si>
    <t>https://find-and-update.company-information.service.gov.uk/company/15451988</t>
  </si>
  <si>
    <t>Jan 2024</t>
  </si>
  <si>
    <t>33</t>
  </si>
  <si>
    <t>Companies House — Janus UK Topco Ltd (FC041396, Jersey)</t>
  </si>
  <si>
    <t>Inc. 13-Mar-2024; directors Lambkin &amp; Motajo</t>
  </si>
  <si>
    <t>North Data: northdata.com/Janus+UK+Topco+Ltd</t>
  </si>
  <si>
    <t>Mar 2024</t>
  </si>
  <si>
    <t>34</t>
  </si>
  <si>
    <t>Carlyle Group press release — Jagex sale</t>
  </si>
  <si>
    <t>Deal announcement; advisors Morgan Stanley + Aream &amp; Co (sell-side); Goldman (buy-side); Carlyle Partners VII + CETP IV; "Terms not disclosed"</t>
  </si>
  <si>
    <t>https://www.carlyle.com/media-room/news-release-archive/carlyle-agrees-to-sell-jagex-to-cvc-capital-partners-and-haveli</t>
  </si>
  <si>
    <t>9-Feb-2024</t>
  </si>
  <si>
    <t>Tier 2</t>
  </si>
  <si>
    <t>35</t>
  </si>
  <si>
    <t>CVC Capital Partners press release</t>
  </si>
  <si>
    <t>Deal confirmation; Fund VIII; "20+ year history of leadership in live service gaming"</t>
  </si>
  <si>
    <t>https://www.cvc.com/media/news/2024/2024-02-09-carlyle-agrees-to-sell-jagex-to-cvc-capital-partners-and-haveli-investments/</t>
  </si>
  <si>
    <t>36</t>
  </si>
  <si>
    <t>Carlyle Group press release — 2021 Jagex acquisition</t>
  </si>
  <si>
    <t>Carlyle's entry; CP VII + CETP IV equity sources; deal price NOT disclosed in Carlyle press release. $530M entry used in model is Macarthur Fortune's 2020 price as flat-hold proxy (see row 42).</t>
  </si>
  <si>
    <t>https://www.carlyle.com/media-room/news-release-archive/carlyle-group-acquires-jagex-leading-online-video-game-company-and</t>
  </si>
  <si>
    <t>37</t>
  </si>
  <si>
    <t>Macarthur Fortune Holding LLC press release</t>
  </si>
  <si>
    <t>Acquisition of Jagex by Macarthur Fortune from Shanghai Hongtou / Shanghai Fukong for $530M — CONFIRMED (this is the 2020 deal, not Carlyle 2021). Carlyle's January 2021 price was never officially disclosed; $530M used as flat-hold proxy.</t>
  </si>
  <si>
    <t>https://www.prnewswire.com/news-releases/platinum-fortune-acquires-jagex-for-530-million-301050848.html</t>
  </si>
  <si>
    <t>1-May-2020</t>
  </si>
  <si>
    <t>38</t>
  </si>
  <si>
    <t>Latham &amp; Watkins (CVC counsel)</t>
  </si>
  <si>
    <t>Deal counsel team; Suneel Basson-Bhatoa (corporate); finance partners team confirms debt was raised</t>
  </si>
  <si>
    <t>https://www.lw.com/en/news/2024/02/latham-advises-cvc-capital-partners-on-the-acquisition-of-jagex</t>
  </si>
  <si>
    <t>39</t>
  </si>
  <si>
    <t>Kirkland &amp; Ellis (Carlyle counsel)</t>
  </si>
  <si>
    <t>Deal counsel team; David Higgins (corporate); Jerome Hoyle (debt finance — confirms repayment workstream)</t>
  </si>
  <si>
    <t>https://www.kirkland.com/news/press-release/2024/02/kirkland-advises-carlyle-on-sale-of-jagex</t>
  </si>
  <si>
    <t>40</t>
  </si>
  <si>
    <t>Kirkland &amp; Ellis — 2021 Jagex acquisition counsel</t>
  </si>
  <si>
    <t>Carlyle 2021 acquisition legal team</t>
  </si>
  <si>
    <t>https://www.kirkland.com/news/press-release/2021/01/kirkland-represents-the-carlyle-group-on-jagex</t>
  </si>
  <si>
    <t>Jan 2021</t>
  </si>
  <si>
    <t>41</t>
  </si>
  <si>
    <t>Microsoft 8-K — Activision Blizzard agreement</t>
  </si>
  <si>
    <t>$95/share × 729M shares = $68.7B deal value; Adj EBITDA basis</t>
  </si>
  <si>
    <t>SEC EDGAR (CIK 0000789019)</t>
  </si>
  <si>
    <t>42</t>
  </si>
  <si>
    <t>Take-Two 8-K — Zynga agreement</t>
  </si>
  <si>
    <t>$12.7B deal value; mixed cash/stock; closed 23-May-2022</t>
  </si>
  <si>
    <t>SEC EDGAR (CIK 0000946581)</t>
  </si>
  <si>
    <t>43</t>
  </si>
  <si>
    <t>Sony press release — Bungie agreement</t>
  </si>
  <si>
    <t>$3.6B deal value ($1.2B retention pool); strategic acquisition</t>
  </si>
  <si>
    <t>sony.com / Sony Interactive press releases</t>
  </si>
  <si>
    <t>44</t>
  </si>
  <si>
    <t>Keywords Studios PR — EQT/CPP/Temasek take-private</t>
  </si>
  <si>
    <t>£2.2B deal value; £24.50/share offer; closed 24-Oct-2024</t>
  </si>
  <si>
    <t>LSE / Keywords Studios investor relations</t>
  </si>
  <si>
    <t>45</t>
  </si>
  <si>
    <t>EA 8-K — Codemasters acquisition</t>
  </si>
  <si>
    <t>£945M (~$1.2B); F1/DiRT live-service IP</t>
  </si>
  <si>
    <t>SEC EDGAR (CIK 0000712515)</t>
  </si>
  <si>
    <t>46</t>
  </si>
  <si>
    <t>Damodaran 2026 ERP &amp; Beta databases</t>
  </si>
  <si>
    <t>UK total ERP 5.01% (4.23% mature-market base + 0.78% UK CRP); Software (Entertainment) sector: 77 firms, βL=1.03, βU=1.01 (cash-corrected 1.02); used in DCF WACC build at DCF!C55:C58.</t>
  </si>
  <si>
    <t>pages.stern.nyu.edu/~adamodar</t>
  </si>
  <si>
    <t>Jan 2026</t>
  </si>
  <si>
    <t>Tier 3</t>
  </si>
  <si>
    <t>47</t>
  </si>
  <si>
    <t>Bank of England yield curve</t>
  </si>
  <si>
    <t>UK 10yr gilt ~4.30-4.65% (May 2024); used as WACC risk-free rate</t>
  </si>
  <si>
    <t>bankofengland.co.uk/statistics/yield-curves</t>
  </si>
  <si>
    <t>48</t>
  </si>
  <si>
    <t>Newzoo PC &amp; Console Gaming Report 2024</t>
  </si>
  <si>
    <t>67% PC player-hours on titles ≥6 years old; live-service / GaaS market context</t>
  </si>
  <si>
    <t>newzoo.com/resources/trend-reports</t>
  </si>
  <si>
    <t>SOURCE TIER LEGEND</t>
  </si>
  <si>
    <t>Tier 1 (definitive): SEC filings, Companies House full audited accounts, regulatory filings | Tier 2 (authoritative): Sponsor PRs, banker fairness opinions, rating agency reports, IR materials | Tier 3 (high-quality secondary): FT/Bloomberg/Reuters/WSJ deal reporting, PitchBook, Mergermarket | Tier 4 (with caution): Trade press (PE Insights, GamesIndustry.biz, Telegraph) | Tier 5 (contextual): Wikipedia, Crunchbase, blog posts</t>
  </si>
  <si>
    <t>STUDENT RECONSTRUCTION - ILLUSTRATIVE ONLY</t>
  </si>
  <si>
    <t>This file is a graduate coursework reconstruction of a real transaction, built by Mason J. Bennett (M.S. Finance, University of Arkansas) from publicly available filings. It is not affiliated with any party to the actual transaction and is published solely as a work sample. Assumptions diverge from actual deal terms where figures were not public. Not investment advice.</t>
  </si>
  <si>
    <t>masonjbennett.com  |  bennettmasonj@gmail.com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</si>
</sst>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164" formatCode="\$#,##0\M"/>
    <numFmt numFmtId="165" formatCode="\£#,##0\M"/>
    <numFmt numFmtId="166" formatCode="\$#,##0.0\M"/>
    <numFmt numFmtId="167" formatCode="0.0\x"/>
    <numFmt numFmtId="168" formatCode="0.00\x"/>
    <numFmt numFmtId="169" formatCode="0.0%"/>
    <numFmt numFmtId="170" formatCode="\$#,##0"/>
    <numFmt numFmtId="171" formatCode="#,##0.0"/>
    <numFmt numFmtId="172" formatCode="0.0"/>
    <numFmt numFmtId="173" formatCode="0.0000"/>
    <numFmt numFmtId="174" formatCode="0.0&quot; yrs&quot;"/>
    <numFmt numFmtId="175" formatCode="#"/>
  </numFmts>
  <fonts count="43" x14ac:knownFonts="1">
    <font>
      <sz val="11"/>
      <color theme="1"/>
      <name val="Calibri"/>
      <family val="2"/>
      <charset val="1"/>
    </font>
    <font>
      <b/>
      <sz val="18"/>
      <color rgb="FF1F3864"/>
      <name val="Arial"/>
      <family val="2"/>
    </font>
    <font>
      <i/>
      <sz val="8"/>
      <color rgb="FF808080"/>
      <name val="Arial"/>
      <family val="2"/>
    </font>
    <font>
      <b/>
      <sz val="11"/>
      <color rgb="FFFFFFFF"/>
      <name val="Arial"/>
      <family val="2"/>
    </font>
    <font>
      <b/>
      <sz val="10"/>
      <color rgb="FF000000"/>
      <name val="Arial"/>
      <family val="2"/>
    </font>
    <font>
      <sz val="10"/>
      <color rgb="FF008000"/>
      <name val="Arial"/>
      <family val="2"/>
    </font>
    <font>
      <sz val="10"/>
      <color rgb="FF000000"/>
      <name val="Arial"/>
      <family val="2"/>
    </font>
    <font>
      <sz val="10"/>
      <color rgb="FF0000FF"/>
      <name val="Arial"/>
      <family val="2"/>
    </font>
    <font>
      <sz val="9"/>
      <color rgb="FF000000"/>
      <name val="Arial"/>
      <family val="2"/>
    </font>
    <font>
      <b/>
      <sz val="14"/>
      <color rgb="FF1F3864"/>
      <name val="Arial"/>
      <family val="2"/>
      <charset val="1"/>
    </font>
    <font>
      <i/>
      <sz val="10"/>
      <color rgb="FF1F3864"/>
      <name val="Arial"/>
      <family val="2"/>
      <charset val="1"/>
    </font>
    <font>
      <b/>
      <sz val="11"/>
      <color rgb="FF1F3864"/>
      <name val="Arial"/>
      <family val="2"/>
      <charset val="1"/>
    </font>
    <font>
      <sz val="10"/>
      <color rgb="FF000000"/>
      <name val="Arial"/>
      <family val="2"/>
      <charset val="1"/>
    </font>
    <font>
      <sz val="10"/>
      <color rgb="FF0000FF"/>
      <name val="Arial"/>
      <family val="2"/>
      <charset val="1"/>
    </font>
    <font>
      <i/>
      <sz val="8"/>
      <color rgb="FF808080"/>
      <name val="Arial"/>
      <family val="2"/>
      <charset val="1"/>
    </font>
    <font>
      <b/>
      <sz val="11"/>
      <color rgb="FF1F3864"/>
      <name val="Arial"/>
      <family val="2"/>
    </font>
    <font>
      <i/>
      <sz val="9"/>
      <color rgb="FF808080"/>
      <name val="Arial"/>
      <family val="2"/>
      <charset val="1"/>
    </font>
    <font>
      <b/>
      <sz val="10"/>
      <color rgb="FF000000"/>
      <name val="Arial"/>
      <family val="2"/>
      <charset val="1"/>
    </font>
    <font>
      <sz val="9"/>
      <color rgb="FF333333"/>
      <name val="Arial"/>
      <family val="2"/>
      <charset val="1"/>
    </font>
    <font>
      <b/>
      <sz val="11"/>
      <color rgb="FFFFFFFF"/>
      <name val="Arial"/>
      <family val="2"/>
      <charset val="1"/>
    </font>
    <font>
      <sz val="10"/>
      <color rgb="FF999999"/>
      <name val="Arial"/>
      <family val="2"/>
      <charset val="1"/>
    </font>
    <font>
      <b/>
      <sz val="10"/>
      <color rgb="FFFF0000"/>
      <name val="Arial"/>
      <family val="2"/>
      <charset val="1"/>
    </font>
    <font>
      <sz val="9"/>
      <color rgb="FFCC0000"/>
      <name val="Arial"/>
      <family val="2"/>
      <charset val="1"/>
    </font>
    <font>
      <sz val="8"/>
      <color rgb="FF0000FF"/>
      <name val="Arial"/>
      <family val="2"/>
      <charset val="1"/>
    </font>
    <font>
      <b/>
      <sz val="10"/>
      <color rgb="FF0000FF"/>
      <name val="Arial"/>
      <family val="2"/>
      <charset val="1"/>
    </font>
    <font>
      <sz val="9"/>
      <color rgb="FF999999"/>
      <name val="Arial"/>
      <family val="2"/>
      <charset val="1"/>
    </font>
    <font>
      <b/>
      <sz val="11"/>
      <color rgb="FFC00000"/>
      <name val="Arial"/>
      <family val="2"/>
      <charset val="1"/>
    </font>
    <font>
      <sz val="9"/>
      <color rgb="FF666666"/>
      <name val="Arial"/>
      <family val="2"/>
      <charset val="1"/>
    </font>
    <font>
      <i/>
      <sz val="9"/>
      <color rgb="FFCC6600"/>
      <name val="Arial"/>
      <family val="2"/>
      <charset val="1"/>
    </font>
    <font>
      <i/>
      <sz val="9"/>
      <color rgb="FF666666"/>
      <name val="Arial"/>
      <family val="2"/>
      <charset val="1"/>
    </font>
    <font>
      <b/>
      <sz val="12"/>
      <color rgb="FF1F3864"/>
      <name val="Arial"/>
      <family val="2"/>
      <charset val="1"/>
    </font>
    <font>
      <b/>
      <sz val="10"/>
      <name val="Arial"/>
      <family val="2"/>
      <charset val="1"/>
    </font>
    <font>
      <b/>
      <sz val="10"/>
      <color rgb="FF1F3864"/>
      <name val="Arial"/>
      <family val="2"/>
      <charset val="1"/>
    </font>
    <font>
      <sz val="10"/>
      <color rgb="FF008000"/>
      <name val="Arial"/>
      <family val="2"/>
      <charset val="1"/>
    </font>
    <font>
      <sz val="8"/>
      <color rgb="FF000000"/>
      <name val="Arial"/>
      <family val="2"/>
    </font>
    <font>
      <b/>
      <sz val="16"/>
      <color rgb="FF1F3864"/>
      <name val="Arial"/>
      <family val="2"/>
      <charset val="1"/>
    </font>
    <font>
      <i/>
      <sz val="10"/>
      <color rgb="FF666666"/>
      <name val="Arial"/>
      <family val="2"/>
      <charset val="1"/>
    </font>
    <font>
      <b/>
      <sz val="10"/>
      <color rgb="FFFFFFFF"/>
      <name val="Arial"/>
      <family val="2"/>
      <charset val="1"/>
    </font>
    <font>
      <b/>
      <sz val="10"/>
      <color rgb="FFC00000"/>
      <name val="Arial"/>
      <family val="2"/>
      <charset val="1"/>
    </font>
    <font>
      <sz val="10"/>
      <name val="Arial"/>
      <family val="2"/>
      <charset val="1"/>
    </font>
    <font>
      <sz val="9"/>
      <name val="Arial"/>
      <family val="2"/>
      <charset val="1"/>
    </font>
    <font>
      <sz val="8"/>
      <color rgb="FF808080"/>
      <name val="Arial"/>
      <family val="2"/>
    </font>
    <font>
      <b/>
      <sz val="16"/>
      <color theme="1"/>
      <name val="Calibri"/>
      <family val="2"/>
    </font>
  </fonts>
  <fills count="11">
    <fill>
      <patternFill patternType="none"/>
    </fill>
    <fill>
      <patternFill patternType="gray125"/>
    </fill>
    <fill>
      <patternFill patternType="solid">
        <fgColor rgb="FF1F3864"/>
        <bgColor rgb="FF333333"/>
      </patternFill>
    </fill>
    <fill>
      <patternFill patternType="solid">
        <fgColor rgb="FFD6E4F0"/>
        <bgColor rgb="FFDDEBF7"/>
      </patternFill>
    </fill>
    <fill>
      <patternFill patternType="solid">
        <fgColor rgb="FFE2EFDA"/>
        <bgColor rgb="FFDDEBF7"/>
      </patternFill>
    </fill>
    <fill>
      <patternFill patternType="solid">
        <fgColor rgb="FFFFF2CC"/>
        <bgColor rgb="FFFFE4B5"/>
      </patternFill>
    </fill>
    <fill>
      <patternFill patternType="solid">
        <fgColor rgb="FFF2F2F2"/>
        <bgColor rgb="FFE2EFDA"/>
      </patternFill>
    </fill>
    <fill>
      <patternFill patternType="solid">
        <fgColor rgb="FFFFFF00"/>
        <bgColor rgb="FFFFFF00"/>
      </patternFill>
    </fill>
    <fill>
      <patternFill patternType="solid">
        <fgColor rgb="FFFFCCCC"/>
        <bgColor rgb="FFFFE4B5"/>
      </patternFill>
    </fill>
    <fill>
      <patternFill patternType="solid">
        <fgColor rgb="FFFFE4B5"/>
        <bgColor rgb="FFFFF2CC"/>
      </patternFill>
    </fill>
    <fill>
      <patternFill patternType="solid">
        <fgColor rgb="FFDDEBF7"/>
        <bgColor rgb="FFD6E4F0"/>
      </patternFill>
    </fill>
  </fills>
  <borders count="5">
    <border>
      <left/>
      <right/>
      <top/>
      <bottom/>
      <diagonal/>
    </border>
    <border>
      <left style="thin">
        <color auto="1"/>
      </left>
      <right style="thin">
        <color auto="1"/>
      </right>
      <top style="thin">
        <color auto="1"/>
      </top>
      <bottom style="thin">
        <color auto="1"/>
      </bottom>
      <diagonal/>
    </border>
    <border>
      <left style="thin">
        <color rgb="FFCCCCCC"/>
      </left>
      <right style="thin">
        <color rgb="FFCCCCCC"/>
      </right>
      <top style="thin">
        <color rgb="FFCCCCCC"/>
      </top>
      <bottom style="thin">
        <color rgb="FFCCCCCC"/>
      </bottom>
      <diagonal/>
    </border>
    <border>
      <left/>
      <right style="thin">
        <color auto="1"/>
      </right>
      <top style="thin">
        <color auto="1"/>
      </top>
      <bottom style="thin">
        <color auto="1"/>
      </bottom>
      <diagonal/>
    </border>
    <border>
      <left/>
      <right/>
      <top style="thin">
        <color auto="1"/>
      </top>
      <bottom style="thin">
        <color auto="1"/>
      </bottom>
      <diagonal/>
    </border>
  </borders>
  <cellStyleXfs count="1">
    <xf numFmtId="0" fontId="0" fillId="0" borderId="0">
      <protection locked="0"/>
    </xf>
  </cellStyleXfs>
  <cellXfs count="213">
    <xf numFmtId="0" fontId="0" fillId="0" borderId="0" xfId="0">
      <protection locked="0"/>
    </xf>
    <xf numFmtId="0" fontId="2" fillId="0" borderId="0" xfId="0" applyFont="1" applyAlignment="1">
      <alignment horizontal="center" vertical="center"/>
      <protection locked="0"/>
    </xf>
    <xf numFmtId="0" fontId="3" fillId="2" borderId="0" xfId="0" applyFont="1" applyFill="1" applyAlignment="1">
      <alignment horizontal="center" vertical="center"/>
      <protection locked="0"/>
    </xf>
    <xf numFmtId="0" fontId="4" fillId="0" borderId="0" xfId="0" applyFont="1" applyAlignment="1">
      <alignment horizontal="left" vertical="center"/>
      <protection locked="0"/>
    </xf>
    <xf numFmtId="164" fontId="5" fillId="0" borderId="0" xfId="0" applyNumberFormat="1" applyFont="1" applyAlignment="1">
      <alignment horizontal="center" vertical="center"/>
      <protection locked="0"/>
    </xf>
    <xf numFmtId="0" fontId="2" fillId="0" borderId="0" xfId="0" applyFont="1" applyAlignment="1">
      <alignment horizontal="left" vertical="center"/>
      <protection locked="0"/>
    </xf>
    <xf numFmtId="165" fontId="5" fillId="0" borderId="0" xfId="0" applyNumberFormat="1" applyFont="1" applyAlignment="1">
      <alignment horizontal="center" vertical="center"/>
      <protection locked="0"/>
    </xf>
    <xf numFmtId="166" fontId="5" fillId="0" borderId="0" xfId="0" applyNumberFormat="1" applyFont="1" applyAlignment="1">
      <alignment horizontal="center" vertical="center"/>
      <protection locked="0"/>
    </xf>
    <xf numFmtId="167" fontId="5" fillId="0" borderId="0" xfId="0" applyNumberFormat="1" applyFont="1" applyAlignment="1">
      <alignment horizontal="center" vertical="center"/>
      <protection locked="0"/>
    </xf>
    <xf numFmtId="0" fontId="4" fillId="3" borderId="0" xfId="0" applyFont="1" applyFill="1" applyAlignment="1">
      <alignment horizontal="center" vertical="center"/>
      <protection locked="0"/>
    </xf>
    <xf numFmtId="0" fontId="4" fillId="3" borderId="0" xfId="0" applyFont="1" applyFill="1" applyAlignment="1">
      <alignment horizontal="left" vertical="center"/>
      <protection locked="0"/>
    </xf>
    <xf numFmtId="0" fontId="6" fillId="0" borderId="0" xfId="0" applyFont="1" applyAlignment="1">
      <alignment horizontal="left" vertical="center"/>
      <protection locked="0"/>
    </xf>
    <xf numFmtId="168" fontId="5" fillId="0" borderId="0" xfId="0" applyNumberFormat="1" applyFont="1" applyAlignment="1">
      <alignment horizontal="center" vertical="center"/>
      <protection locked="0"/>
    </xf>
    <xf numFmtId="169" fontId="5" fillId="0" borderId="0" xfId="0" applyNumberFormat="1" applyFont="1" applyAlignment="1">
      <alignment horizontal="center" vertical="center"/>
      <protection locked="0"/>
    </xf>
    <xf numFmtId="0" fontId="4" fillId="4" borderId="0" xfId="0" applyFont="1" applyFill="1" applyAlignment="1">
      <alignment horizontal="left" vertical="center"/>
      <protection locked="0"/>
    </xf>
    <xf numFmtId="169" fontId="5" fillId="4" borderId="0" xfId="0" applyNumberFormat="1" applyFont="1" applyFill="1" applyAlignment="1">
      <alignment horizontal="center" vertical="center"/>
      <protection locked="0"/>
    </xf>
    <xf numFmtId="169" fontId="2" fillId="4" borderId="0" xfId="0" applyNumberFormat="1" applyFont="1" applyFill="1" applyAlignment="1">
      <alignment horizontal="center" vertical="center"/>
      <protection locked="0"/>
    </xf>
    <xf numFmtId="3" fontId="5" fillId="0" borderId="0" xfId="0" applyNumberFormat="1" applyFont="1" applyAlignment="1">
      <alignment horizontal="center" vertical="center"/>
      <protection locked="0"/>
    </xf>
    <xf numFmtId="3" fontId="5" fillId="4" borderId="0" xfId="0" applyNumberFormat="1" applyFont="1" applyFill="1" applyAlignment="1">
      <alignment horizontal="center" vertical="center"/>
      <protection locked="0"/>
    </xf>
    <xf numFmtId="0" fontId="4" fillId="4" borderId="0" xfId="0" applyFont="1" applyFill="1" applyAlignment="1">
      <alignment horizontal="center" vertical="center"/>
      <protection locked="0"/>
    </xf>
    <xf numFmtId="170" fontId="5" fillId="0" borderId="0" xfId="0" applyNumberFormat="1" applyFont="1" applyAlignment="1">
      <alignment horizontal="center" vertical="center"/>
      <protection locked="0"/>
    </xf>
    <xf numFmtId="170" fontId="7" fillId="0" borderId="0" xfId="0" applyNumberFormat="1" applyFont="1" applyAlignment="1">
      <alignment horizontal="center" vertical="center"/>
      <protection locked="0"/>
    </xf>
    <xf numFmtId="0" fontId="0" fillId="4" borderId="0" xfId="0" applyFill="1">
      <protection locked="0"/>
    </xf>
    <xf numFmtId="170" fontId="4" fillId="4" borderId="0" xfId="0" applyNumberFormat="1" applyFont="1" applyFill="1" applyAlignment="1">
      <alignment horizontal="center" vertical="center"/>
      <protection locked="0"/>
    </xf>
    <xf numFmtId="0" fontId="8" fillId="0" borderId="0" xfId="0" applyFont="1" applyAlignment="1">
      <alignment horizontal="left" vertical="center"/>
      <protection locked="0"/>
    </xf>
    <xf numFmtId="0" fontId="8" fillId="0" borderId="0" xfId="0" applyFont="1" applyAlignment="1">
      <alignment horizontal="center" vertical="center"/>
      <protection locked="0"/>
    </xf>
    <xf numFmtId="0" fontId="4" fillId="3" borderId="0" xfId="0" applyFont="1" applyFill="1" applyAlignment="1">
      <alignment vertical="top" wrapText="1"/>
      <protection locked="0"/>
    </xf>
    <xf numFmtId="0" fontId="8" fillId="0" borderId="0" xfId="0" applyFont="1" applyAlignment="1">
      <alignment vertical="top" wrapText="1"/>
      <protection locked="0"/>
    </xf>
    <xf numFmtId="0" fontId="9" fillId="0" borderId="1" xfId="0" applyFont="1" applyBorder="1">
      <protection locked="0"/>
    </xf>
    <xf numFmtId="0" fontId="10" fillId="0" borderId="1" xfId="0" applyFont="1" applyBorder="1">
      <protection locked="0"/>
    </xf>
    <xf numFmtId="0" fontId="12" fillId="0" borderId="1" xfId="0" applyFont="1" applyBorder="1">
      <protection locked="0"/>
    </xf>
    <xf numFmtId="0" fontId="13" fillId="0" borderId="1" xfId="0" applyFont="1" applyBorder="1">
      <protection locked="0"/>
    </xf>
    <xf numFmtId="0" fontId="14" fillId="0" borderId="1" xfId="0" applyFont="1" applyBorder="1">
      <protection locked="0"/>
    </xf>
    <xf numFmtId="0" fontId="15" fillId="3" borderId="0" xfId="0" applyFont="1" applyFill="1">
      <protection locked="0"/>
    </xf>
    <xf numFmtId="0" fontId="4" fillId="0" borderId="0" xfId="0" applyFont="1">
      <protection locked="0"/>
    </xf>
    <xf numFmtId="0" fontId="7" fillId="5" borderId="0" xfId="0" applyFont="1" applyFill="1">
      <protection locked="0"/>
    </xf>
    <xf numFmtId="0" fontId="2" fillId="0" borderId="0" xfId="0" applyFont="1">
      <protection locked="0"/>
    </xf>
    <xf numFmtId="0" fontId="7" fillId="0" borderId="0" xfId="0" applyFont="1">
      <protection locked="0"/>
    </xf>
    <xf numFmtId="0" fontId="16" fillId="0" borderId="1" xfId="0" applyFont="1" applyBorder="1">
      <protection locked="0"/>
    </xf>
    <xf numFmtId="0" fontId="17" fillId="0" borderId="1" xfId="0" applyFont="1" applyBorder="1">
      <protection locked="0"/>
    </xf>
    <xf numFmtId="3" fontId="13" fillId="0" borderId="1" xfId="0" applyNumberFormat="1" applyFont="1" applyBorder="1" applyAlignment="1">
      <alignment horizontal="right" vertical="center"/>
      <protection locked="0"/>
    </xf>
    <xf numFmtId="0" fontId="14" fillId="0" borderId="1" xfId="0" applyFont="1" applyBorder="1" applyAlignment="1">
      <alignment horizontal="left" vertical="center" wrapText="1"/>
      <protection locked="0"/>
    </xf>
    <xf numFmtId="3" fontId="17" fillId="6" borderId="1" xfId="0" applyNumberFormat="1" applyFont="1" applyFill="1" applyBorder="1" applyAlignment="1">
      <alignment horizontal="right" vertical="center"/>
      <protection locked="0"/>
    </xf>
    <xf numFmtId="3" fontId="12" fillId="0" borderId="1" xfId="0" applyNumberFormat="1" applyFont="1" applyBorder="1" applyAlignment="1">
      <alignment horizontal="right" vertical="center"/>
      <protection locked="0"/>
    </xf>
    <xf numFmtId="0" fontId="19" fillId="2" borderId="1" xfId="0" applyFont="1" applyFill="1" applyBorder="1" applyAlignment="1">
      <alignment horizontal="center" vertical="center"/>
      <protection locked="0"/>
    </xf>
    <xf numFmtId="0" fontId="14" fillId="0" borderId="1" xfId="0" applyFont="1" applyBorder="1" applyAlignment="1">
      <alignment horizontal="center" vertical="center"/>
      <protection locked="0"/>
    </xf>
    <xf numFmtId="0" fontId="2" fillId="0" borderId="1" xfId="0" applyFont="1" applyBorder="1" applyAlignment="1">
      <alignment vertical="top" wrapText="1"/>
      <protection locked="0"/>
    </xf>
    <xf numFmtId="0" fontId="20" fillId="0" borderId="1" xfId="0" applyFont="1" applyBorder="1" applyAlignment="1">
      <alignment horizontal="right" vertical="center"/>
      <protection locked="0"/>
    </xf>
    <xf numFmtId="169" fontId="12" fillId="0" borderId="1" xfId="0" applyNumberFormat="1" applyFont="1" applyBorder="1" applyAlignment="1">
      <alignment horizontal="right" vertical="center"/>
      <protection locked="0"/>
    </xf>
    <xf numFmtId="0" fontId="11" fillId="0" borderId="1" xfId="0" applyFont="1" applyBorder="1">
      <protection locked="0"/>
    </xf>
    <xf numFmtId="168" fontId="12" fillId="0" borderId="1" xfId="0" applyNumberFormat="1" applyFont="1" applyBorder="1" applyAlignment="1">
      <alignment horizontal="right" vertical="center"/>
      <protection locked="0"/>
    </xf>
    <xf numFmtId="167" fontId="12" fillId="0" borderId="1" xfId="0" applyNumberFormat="1" applyFont="1" applyBorder="1" applyAlignment="1">
      <alignment horizontal="right" vertical="center"/>
      <protection locked="0"/>
    </xf>
    <xf numFmtId="0" fontId="13" fillId="0" borderId="1" xfId="0" applyFont="1" applyBorder="1" applyAlignment="1">
      <alignment horizontal="right" vertical="center"/>
      <protection locked="0"/>
    </xf>
    <xf numFmtId="0" fontId="4" fillId="3" borderId="0" xfId="0" applyFont="1" applyFill="1">
      <protection locked="0"/>
    </xf>
    <xf numFmtId="0" fontId="2" fillId="0" borderId="0" xfId="0" applyFont="1" applyAlignment="1">
      <alignment vertical="top" wrapText="1"/>
      <protection locked="0"/>
    </xf>
    <xf numFmtId="0" fontId="4" fillId="3" borderId="0" xfId="0" applyFont="1" applyFill="1" applyAlignment="1">
      <alignment horizontal="center"/>
      <protection locked="0"/>
    </xf>
    <xf numFmtId="171" fontId="7" fillId="0" borderId="0" xfId="0" applyNumberFormat="1" applyFont="1">
      <protection locked="0"/>
    </xf>
    <xf numFmtId="0" fontId="6" fillId="0" borderId="0" xfId="0" applyFont="1">
      <protection locked="0"/>
    </xf>
    <xf numFmtId="171" fontId="7" fillId="5" borderId="0" xfId="0" applyNumberFormat="1" applyFont="1" applyFill="1">
      <protection locked="0"/>
    </xf>
    <xf numFmtId="0" fontId="4" fillId="4" borderId="0" xfId="0" applyFont="1" applyFill="1">
      <protection locked="0"/>
    </xf>
    <xf numFmtId="171" fontId="4" fillId="4" borderId="0" xfId="0" applyNumberFormat="1" applyFont="1" applyFill="1">
      <protection locked="0"/>
    </xf>
    <xf numFmtId="171" fontId="6" fillId="0" borderId="0" xfId="0" applyNumberFormat="1" applyFont="1">
      <protection locked="0"/>
    </xf>
    <xf numFmtId="0" fontId="4" fillId="0" borderId="0" xfId="0" applyFont="1" applyAlignment="1">
      <alignment horizontal="center"/>
      <protection locked="0"/>
    </xf>
    <xf numFmtId="167" fontId="6" fillId="0" borderId="0" xfId="0" applyNumberFormat="1" applyFont="1">
      <protection locked="0"/>
    </xf>
    <xf numFmtId="0" fontId="13" fillId="0" borderId="1" xfId="0" applyFont="1" applyBorder="1" applyAlignment="1">
      <alignment horizontal="center" vertical="center"/>
      <protection locked="0"/>
    </xf>
    <xf numFmtId="0" fontId="23" fillId="0" borderId="1" xfId="0" applyFont="1" applyBorder="1" applyAlignment="1">
      <alignment horizontal="center" vertical="center"/>
      <protection locked="0"/>
    </xf>
    <xf numFmtId="171" fontId="24" fillId="7" borderId="1" xfId="0" applyNumberFormat="1" applyFont="1" applyFill="1" applyBorder="1" applyAlignment="1">
      <alignment horizontal="center" vertical="center"/>
      <protection locked="0"/>
    </xf>
    <xf numFmtId="171" fontId="13" fillId="0" borderId="1" xfId="0" applyNumberFormat="1" applyFont="1" applyBorder="1" applyAlignment="1">
      <alignment horizontal="center" vertical="center"/>
      <protection locked="0"/>
    </xf>
    <xf numFmtId="169" fontId="12" fillId="0" borderId="1" xfId="0" applyNumberFormat="1" applyFont="1" applyBorder="1" applyAlignment="1">
      <alignment horizontal="center" vertical="center"/>
      <protection locked="0"/>
    </xf>
    <xf numFmtId="171" fontId="24" fillId="0" borderId="1" xfId="0" applyNumberFormat="1" applyFont="1" applyBorder="1" applyAlignment="1">
      <alignment horizontal="center" vertical="center"/>
      <protection locked="0"/>
    </xf>
    <xf numFmtId="0" fontId="25" fillId="0" borderId="1" xfId="0" applyFont="1" applyBorder="1" applyAlignment="1">
      <alignment horizontal="center" vertical="center"/>
      <protection locked="0"/>
    </xf>
    <xf numFmtId="0" fontId="0" fillId="2" borderId="1" xfId="0" applyFill="1" applyBorder="1">
      <protection locked="0"/>
    </xf>
    <xf numFmtId="0" fontId="0" fillId="0" borderId="1" xfId="0" applyBorder="1" applyAlignment="1">
      <alignment horizontal="center" vertical="center"/>
      <protection locked="0"/>
    </xf>
    <xf numFmtId="167" fontId="13" fillId="0" borderId="1" xfId="0" applyNumberFormat="1" applyFont="1" applyBorder="1" applyAlignment="1">
      <alignment horizontal="center" vertical="center"/>
      <protection locked="0"/>
    </xf>
    <xf numFmtId="0" fontId="17" fillId="0" borderId="1" xfId="0" applyFont="1" applyBorder="1" applyAlignment="1">
      <alignment horizontal="center" vertical="center"/>
      <protection locked="0"/>
    </xf>
    <xf numFmtId="167" fontId="12" fillId="0" borderId="1" xfId="0" applyNumberFormat="1" applyFont="1" applyBorder="1" applyAlignment="1">
      <alignment horizontal="center" vertical="center"/>
      <protection locked="0"/>
    </xf>
    <xf numFmtId="3" fontId="12" fillId="0" borderId="1" xfId="0" applyNumberFormat="1" applyFont="1" applyBorder="1" applyAlignment="1">
      <alignment horizontal="center" vertical="center"/>
      <protection locked="0"/>
    </xf>
    <xf numFmtId="3" fontId="12" fillId="6" borderId="1" xfId="0" applyNumberFormat="1" applyFont="1" applyFill="1" applyBorder="1" applyAlignment="1">
      <alignment horizontal="center" vertical="center"/>
      <protection locked="0"/>
    </xf>
    <xf numFmtId="0" fontId="26" fillId="0" borderId="1" xfId="0" applyFont="1" applyBorder="1">
      <protection locked="0"/>
    </xf>
    <xf numFmtId="3" fontId="26" fillId="8" borderId="1" xfId="0" applyNumberFormat="1" applyFont="1" applyFill="1" applyBorder="1" applyAlignment="1">
      <alignment horizontal="center" vertical="center"/>
      <protection locked="0"/>
    </xf>
    <xf numFmtId="171" fontId="5" fillId="0" borderId="0" xfId="0" applyNumberFormat="1" applyFont="1">
      <protection locked="0"/>
    </xf>
    <xf numFmtId="169" fontId="5" fillId="0" borderId="0" xfId="0" applyNumberFormat="1" applyFont="1">
      <protection locked="0"/>
    </xf>
    <xf numFmtId="167" fontId="5" fillId="0" borderId="0" xfId="0" applyNumberFormat="1" applyFont="1">
      <protection locked="0"/>
    </xf>
    <xf numFmtId="169" fontId="6" fillId="0" borderId="0" xfId="0" applyNumberFormat="1" applyFont="1">
      <protection locked="0"/>
    </xf>
    <xf numFmtId="2" fontId="6" fillId="0" borderId="0" xfId="0" applyNumberFormat="1" applyFont="1">
      <protection locked="0"/>
    </xf>
    <xf numFmtId="168" fontId="6" fillId="0" borderId="0" xfId="0" applyNumberFormat="1" applyFont="1">
      <protection locked="0"/>
    </xf>
    <xf numFmtId="167" fontId="4" fillId="4" borderId="0" xfId="0" applyNumberFormat="1" applyFont="1" applyFill="1">
      <protection locked="0"/>
    </xf>
    <xf numFmtId="3" fontId="6" fillId="0" borderId="0" xfId="0" applyNumberFormat="1" applyFont="1">
      <protection locked="0"/>
    </xf>
    <xf numFmtId="3" fontId="7" fillId="0" borderId="0" xfId="0" applyNumberFormat="1" applyFont="1">
      <protection locked="0"/>
    </xf>
    <xf numFmtId="3" fontId="4" fillId="4" borderId="0" xfId="0" applyNumberFormat="1" applyFont="1" applyFill="1">
      <protection locked="0"/>
    </xf>
    <xf numFmtId="0" fontId="12" fillId="9" borderId="1" xfId="0" applyFont="1" applyFill="1" applyBorder="1">
      <protection locked="0"/>
    </xf>
    <xf numFmtId="0" fontId="12" fillId="9" borderId="1" xfId="0" applyFont="1" applyFill="1" applyBorder="1" applyAlignment="1">
      <alignment horizontal="center" vertical="center"/>
      <protection locked="0"/>
    </xf>
    <xf numFmtId="167" fontId="13" fillId="9" borderId="1" xfId="0" applyNumberFormat="1" applyFont="1" applyFill="1" applyBorder="1" applyAlignment="1">
      <alignment horizontal="center" vertical="center"/>
      <protection locked="0"/>
    </xf>
    <xf numFmtId="0" fontId="25" fillId="9" borderId="1" xfId="0" applyFont="1" applyFill="1" applyBorder="1" applyAlignment="1">
      <alignment horizontal="center" vertical="center"/>
      <protection locked="0"/>
    </xf>
    <xf numFmtId="0" fontId="27" fillId="9" borderId="1" xfId="0" applyFont="1" applyFill="1" applyBorder="1" applyAlignment="1">
      <alignment horizontal="left" vertical="center" wrapText="1"/>
      <protection locked="0"/>
    </xf>
    <xf numFmtId="0" fontId="12" fillId="0" borderId="1" xfId="0" applyFont="1" applyBorder="1" applyAlignment="1">
      <alignment horizontal="center" vertical="center"/>
      <protection locked="0"/>
    </xf>
    <xf numFmtId="172" fontId="13" fillId="0" borderId="1" xfId="0" applyNumberFormat="1" applyFont="1" applyBorder="1" applyAlignment="1">
      <alignment horizontal="center" vertical="center"/>
      <protection locked="0"/>
    </xf>
    <xf numFmtId="0" fontId="27" fillId="0" borderId="1" xfId="0" applyFont="1" applyBorder="1" applyAlignment="1">
      <alignment horizontal="left" vertical="center" wrapText="1"/>
      <protection locked="0"/>
    </xf>
    <xf numFmtId="0" fontId="17" fillId="6" borderId="1" xfId="0" applyFont="1" applyFill="1" applyBorder="1" applyAlignment="1">
      <alignment horizontal="center" vertical="center"/>
      <protection locked="0"/>
    </xf>
    <xf numFmtId="0" fontId="0" fillId="6" borderId="1" xfId="0" applyFill="1" applyBorder="1">
      <protection locked="0"/>
    </xf>
    <xf numFmtId="167" fontId="12" fillId="6" borderId="1" xfId="0" applyNumberFormat="1" applyFont="1" applyFill="1" applyBorder="1" applyAlignment="1">
      <alignment horizontal="center" vertical="center"/>
      <protection locked="0"/>
    </xf>
    <xf numFmtId="3" fontId="12" fillId="6" borderId="1" xfId="0" applyNumberFormat="1" applyFont="1" applyFill="1" applyBorder="1" applyAlignment="1">
      <alignment horizontal="right" vertical="center"/>
      <protection locked="0"/>
    </xf>
    <xf numFmtId="0" fontId="26" fillId="8" borderId="1" xfId="0" applyFont="1" applyFill="1" applyBorder="1">
      <protection locked="0"/>
    </xf>
    <xf numFmtId="0" fontId="26" fillId="8" borderId="1" xfId="0" applyFont="1" applyFill="1" applyBorder="1" applyAlignment="1">
      <alignment horizontal="center" vertical="center"/>
      <protection locked="0"/>
    </xf>
    <xf numFmtId="3" fontId="26" fillId="8" borderId="1" xfId="0" applyNumberFormat="1" applyFont="1" applyFill="1" applyBorder="1" applyAlignment="1">
      <alignment horizontal="right" vertical="center"/>
      <protection locked="0"/>
    </xf>
    <xf numFmtId="170" fontId="7" fillId="5" borderId="0" xfId="0" applyNumberFormat="1" applyFont="1" applyFill="1">
      <protection locked="0"/>
    </xf>
    <xf numFmtId="170" fontId="7" fillId="0" borderId="0" xfId="0" applyNumberFormat="1" applyFont="1">
      <protection locked="0"/>
    </xf>
    <xf numFmtId="172" fontId="7" fillId="0" borderId="0" xfId="0" applyNumberFormat="1" applyFont="1" applyAlignment="1">
      <alignment horizontal="center"/>
      <protection locked="0"/>
    </xf>
    <xf numFmtId="170" fontId="4" fillId="0" borderId="0" xfId="0" applyNumberFormat="1" applyFont="1">
      <protection locked="0"/>
    </xf>
    <xf numFmtId="171" fontId="13" fillId="7" borderId="1" xfId="0" applyNumberFormat="1" applyFont="1" applyFill="1" applyBorder="1">
      <protection locked="0"/>
    </xf>
    <xf numFmtId="169" fontId="13" fillId="7" borderId="1" xfId="0" applyNumberFormat="1" applyFont="1" applyFill="1" applyBorder="1">
      <protection locked="0"/>
    </xf>
    <xf numFmtId="171" fontId="12" fillId="0" borderId="1" xfId="0" applyNumberFormat="1" applyFont="1" applyBorder="1" applyAlignment="1">
      <alignment horizontal="right" vertical="center"/>
      <protection locked="0"/>
    </xf>
    <xf numFmtId="171" fontId="17" fillId="6" borderId="1" xfId="0" applyNumberFormat="1" applyFont="1" applyFill="1" applyBorder="1" applyAlignment="1">
      <alignment horizontal="right" vertical="center"/>
      <protection locked="0"/>
    </xf>
    <xf numFmtId="173" fontId="12" fillId="0" borderId="1" xfId="0" applyNumberFormat="1" applyFont="1" applyBorder="1" applyAlignment="1">
      <alignment horizontal="right" vertical="center"/>
      <protection locked="0"/>
    </xf>
    <xf numFmtId="171" fontId="12" fillId="0" borderId="1" xfId="0" applyNumberFormat="1" applyFont="1" applyBorder="1">
      <protection locked="0"/>
    </xf>
    <xf numFmtId="0" fontId="30" fillId="0" borderId="1" xfId="0" applyFont="1" applyBorder="1">
      <protection locked="0"/>
    </xf>
    <xf numFmtId="171" fontId="30" fillId="3" borderId="1" xfId="0" applyNumberFormat="1" applyFont="1" applyFill="1" applyBorder="1">
      <protection locked="0"/>
    </xf>
    <xf numFmtId="169" fontId="12" fillId="0" borderId="1" xfId="0" applyNumberFormat="1" applyFont="1" applyBorder="1">
      <protection locked="0"/>
    </xf>
    <xf numFmtId="167" fontId="12" fillId="0" borderId="1" xfId="0" applyNumberFormat="1" applyFont="1" applyBorder="1">
      <protection locked="0"/>
    </xf>
    <xf numFmtId="3" fontId="13" fillId="0" borderId="1" xfId="0" applyNumberFormat="1" applyFont="1" applyBorder="1">
      <protection locked="0"/>
    </xf>
    <xf numFmtId="169" fontId="19" fillId="2" borderId="1" xfId="0" applyNumberFormat="1" applyFont="1" applyFill="1" applyBorder="1" applyAlignment="1">
      <alignment horizontal="center" vertical="center"/>
      <protection locked="0"/>
    </xf>
    <xf numFmtId="169" fontId="24" fillId="0" borderId="1" xfId="0" applyNumberFormat="1" applyFont="1" applyBorder="1" applyAlignment="1">
      <alignment horizontal="center" vertical="center"/>
      <protection locked="0"/>
    </xf>
    <xf numFmtId="3" fontId="31" fillId="7" borderId="1" xfId="0" applyNumberFormat="1" applyFont="1" applyFill="1" applyBorder="1" applyAlignment="1">
      <alignment horizontal="center" vertical="center"/>
      <protection locked="0"/>
    </xf>
    <xf numFmtId="169" fontId="7" fillId="7" borderId="0" xfId="0" applyNumberFormat="1" applyFont="1" applyFill="1" applyAlignment="1">
      <alignment horizontal="center" vertical="center"/>
      <protection locked="0"/>
    </xf>
    <xf numFmtId="2" fontId="7" fillId="0" borderId="0" xfId="0" applyNumberFormat="1" applyFont="1" applyAlignment="1">
      <alignment horizontal="center" vertical="center"/>
      <protection locked="0"/>
    </xf>
    <xf numFmtId="173" fontId="6" fillId="0" borderId="0" xfId="0" applyNumberFormat="1" applyFont="1" applyAlignment="1">
      <alignment horizontal="center" vertical="center"/>
      <protection locked="0"/>
    </xf>
    <xf numFmtId="2" fontId="6" fillId="7" borderId="0" xfId="0" applyNumberFormat="1" applyFont="1" applyFill="1" applyAlignment="1">
      <alignment horizontal="center" vertical="center"/>
      <protection locked="0"/>
    </xf>
    <xf numFmtId="169" fontId="4" fillId="4" borderId="0" xfId="0" applyNumberFormat="1" applyFont="1" applyFill="1" applyAlignment="1">
      <alignment horizontal="center" vertical="center"/>
      <protection locked="0"/>
    </xf>
    <xf numFmtId="169" fontId="6" fillId="0" borderId="0" xfId="0" applyNumberFormat="1" applyFont="1" applyAlignment="1">
      <alignment horizontal="center" vertical="center"/>
      <protection locked="0"/>
    </xf>
    <xf numFmtId="169" fontId="7" fillId="7" borderId="0" xfId="0" applyNumberFormat="1" applyFont="1" applyFill="1">
      <protection locked="0"/>
    </xf>
    <xf numFmtId="171" fontId="13" fillId="0" borderId="1" xfId="0" applyNumberFormat="1" applyFont="1" applyBorder="1">
      <protection locked="0"/>
    </xf>
    <xf numFmtId="167" fontId="6" fillId="0" borderId="1" xfId="0" applyNumberFormat="1" applyFont="1" applyBorder="1">
      <protection locked="0"/>
    </xf>
    <xf numFmtId="171" fontId="17" fillId="0" borderId="1" xfId="0" applyNumberFormat="1" applyFont="1" applyBorder="1">
      <protection locked="0"/>
    </xf>
    <xf numFmtId="0" fontId="32" fillId="0" borderId="1" xfId="0" applyFont="1" applyBorder="1">
      <protection locked="0"/>
    </xf>
    <xf numFmtId="171" fontId="13" fillId="3" borderId="1" xfId="0" applyNumberFormat="1" applyFont="1" applyFill="1" applyBorder="1">
      <protection locked="0"/>
    </xf>
    <xf numFmtId="0" fontId="13" fillId="5" borderId="1" xfId="0" applyFont="1" applyFill="1" applyBorder="1">
      <protection locked="0"/>
    </xf>
    <xf numFmtId="169" fontId="13" fillId="5" borderId="1" xfId="0" applyNumberFormat="1" applyFont="1" applyFill="1" applyBorder="1">
      <protection locked="0"/>
    </xf>
    <xf numFmtId="171" fontId="33" fillId="0" borderId="1" xfId="0" applyNumberFormat="1" applyFont="1" applyBorder="1" applyAlignment="1">
      <alignment horizontal="right" vertical="center"/>
      <protection locked="0"/>
    </xf>
    <xf numFmtId="171" fontId="13" fillId="0" borderId="1" xfId="0" applyNumberFormat="1" applyFont="1" applyBorder="1" applyAlignment="1">
      <alignment horizontal="right" vertical="center"/>
      <protection locked="0"/>
    </xf>
    <xf numFmtId="171" fontId="17" fillId="3" borderId="1" xfId="0" applyNumberFormat="1" applyFont="1" applyFill="1" applyBorder="1" applyAlignment="1">
      <alignment horizontal="right" vertical="center"/>
      <protection locked="0"/>
    </xf>
    <xf numFmtId="0" fontId="19" fillId="2" borderId="1" xfId="0" applyFont="1" applyFill="1" applyBorder="1">
      <protection locked="0"/>
    </xf>
    <xf numFmtId="167" fontId="24" fillId="0" borderId="1" xfId="0" applyNumberFormat="1" applyFont="1" applyBorder="1" applyAlignment="1">
      <alignment horizontal="center" vertical="center"/>
      <protection locked="0"/>
    </xf>
    <xf numFmtId="167" fontId="12" fillId="7" borderId="1" xfId="0" applyNumberFormat="1" applyFont="1" applyFill="1" applyBorder="1" applyAlignment="1">
      <alignment horizontal="center" vertical="center"/>
      <protection locked="0"/>
    </xf>
    <xf numFmtId="169" fontId="12" fillId="7" borderId="1" xfId="0" applyNumberFormat="1" applyFont="1" applyFill="1" applyBorder="1" applyAlignment="1">
      <alignment horizontal="center" vertical="center"/>
      <protection locked="0"/>
    </xf>
    <xf numFmtId="172" fontId="13" fillId="0" borderId="1" xfId="0" applyNumberFormat="1" applyFont="1" applyBorder="1">
      <protection locked="0"/>
    </xf>
    <xf numFmtId="0" fontId="34" fillId="0" borderId="0" xfId="0" applyFont="1">
      <protection locked="0"/>
    </xf>
    <xf numFmtId="167" fontId="7" fillId="7" borderId="0" xfId="0" applyNumberFormat="1" applyFont="1" applyFill="1">
      <protection locked="0"/>
    </xf>
    <xf numFmtId="168" fontId="4" fillId="4" borderId="0" xfId="0" applyNumberFormat="1" applyFont="1" applyFill="1">
      <protection locked="0"/>
    </xf>
    <xf numFmtId="169" fontId="4" fillId="4" borderId="0" xfId="0" applyNumberFormat="1" applyFont="1" applyFill="1">
      <protection locked="0"/>
    </xf>
    <xf numFmtId="0" fontId="4" fillId="10" borderId="0" xfId="0" applyFont="1" applyFill="1" applyAlignment="1">
      <alignment horizontal="center"/>
      <protection locked="0"/>
    </xf>
    <xf numFmtId="169" fontId="7" fillId="0" borderId="0" xfId="0" applyNumberFormat="1" applyFont="1">
      <protection locked="0"/>
    </xf>
    <xf numFmtId="169" fontId="7" fillId="10" borderId="0" xfId="0" applyNumberFormat="1" applyFont="1" applyFill="1">
      <protection locked="0"/>
    </xf>
    <xf numFmtId="171" fontId="6" fillId="10" borderId="0" xfId="0" applyNumberFormat="1" applyFont="1" applyFill="1">
      <protection locked="0"/>
    </xf>
    <xf numFmtId="171" fontId="5" fillId="10" borderId="0" xfId="0" applyNumberFormat="1" applyFont="1" applyFill="1">
      <protection locked="0"/>
    </xf>
    <xf numFmtId="167" fontId="4" fillId="3" borderId="0" xfId="0" applyNumberFormat="1" applyFont="1" applyFill="1" applyAlignment="1">
      <alignment horizontal="center"/>
      <protection locked="0"/>
    </xf>
    <xf numFmtId="167" fontId="4" fillId="0" borderId="0" xfId="0" applyNumberFormat="1" applyFont="1">
      <protection locked="0"/>
    </xf>
    <xf numFmtId="168" fontId="6" fillId="0" borderId="0" xfId="0" applyNumberFormat="1" applyFont="1" applyAlignment="1">
      <alignment horizontal="center"/>
      <protection locked="0"/>
    </xf>
    <xf numFmtId="171" fontId="7" fillId="7" borderId="0" xfId="0" applyNumberFormat="1" applyFont="1" applyFill="1">
      <protection locked="0"/>
    </xf>
    <xf numFmtId="174" fontId="7" fillId="7" borderId="0" xfId="0" applyNumberFormat="1" applyFont="1" applyFill="1">
      <protection locked="0"/>
    </xf>
    <xf numFmtId="168" fontId="5" fillId="0" borderId="0" xfId="0" applyNumberFormat="1" applyFont="1">
      <protection locked="0"/>
    </xf>
    <xf numFmtId="0" fontId="37" fillId="2" borderId="2" xfId="0" applyFont="1" applyFill="1" applyBorder="1" applyAlignment="1">
      <alignment horizontal="center" vertical="center"/>
      <protection locked="0"/>
    </xf>
    <xf numFmtId="0" fontId="17" fillId="0" borderId="2" xfId="0" applyFont="1" applyBorder="1">
      <protection locked="0"/>
    </xf>
    <xf numFmtId="164" fontId="13" fillId="0" borderId="2" xfId="0" applyNumberFormat="1" applyFont="1" applyBorder="1" applyAlignment="1">
      <alignment horizontal="right" vertical="center"/>
      <protection locked="0"/>
    </xf>
    <xf numFmtId="164" fontId="38" fillId="0" borderId="2" xfId="0" applyNumberFormat="1" applyFont="1" applyBorder="1" applyAlignment="1">
      <alignment horizontal="right" vertical="center"/>
      <protection locked="0"/>
    </xf>
    <xf numFmtId="0" fontId="29" fillId="0" borderId="2" xfId="0" applyFont="1" applyBorder="1" applyAlignment="1">
      <alignment horizontal="left" vertical="center" wrapText="1"/>
      <protection locked="0"/>
    </xf>
    <xf numFmtId="0" fontId="2" fillId="0" borderId="2" xfId="0" applyFont="1" applyBorder="1" applyAlignment="1">
      <alignment vertical="top" wrapText="1"/>
      <protection locked="0"/>
    </xf>
    <xf numFmtId="0" fontId="5" fillId="0" borderId="0" xfId="0" applyFont="1">
      <protection locked="0"/>
    </xf>
    <xf numFmtId="0" fontId="39" fillId="0" borderId="2" xfId="0" applyFont="1" applyBorder="1">
      <protection locked="0"/>
    </xf>
    <xf numFmtId="3" fontId="13" fillId="0" borderId="2" xfId="0" applyNumberFormat="1" applyFont="1" applyBorder="1" applyAlignment="1">
      <alignment horizontal="right" vertical="center"/>
      <protection locked="0"/>
    </xf>
    <xf numFmtId="3" fontId="39" fillId="0" borderId="2" xfId="0" applyNumberFormat="1" applyFont="1" applyBorder="1" applyAlignment="1">
      <alignment horizontal="right" vertical="center"/>
      <protection locked="0"/>
    </xf>
    <xf numFmtId="0" fontId="31" fillId="0" borderId="0" xfId="0" applyFont="1">
      <protection locked="0"/>
    </xf>
    <xf numFmtId="175" fontId="12" fillId="0" borderId="1" xfId="0" applyNumberFormat="1" applyFont="1" applyBorder="1">
      <protection locked="0"/>
    </xf>
    <xf numFmtId="0" fontId="40" fillId="0" borderId="1" xfId="0" applyFont="1" applyBorder="1" applyAlignment="1">
      <alignment horizontal="left" vertical="center" wrapText="1"/>
      <protection locked="0"/>
    </xf>
    <xf numFmtId="0" fontId="23" fillId="0" borderId="1" xfId="0" applyFont="1" applyBorder="1" applyAlignment="1">
      <alignment horizontal="left" vertical="center" wrapText="1"/>
      <protection locked="0"/>
    </xf>
    <xf numFmtId="0" fontId="40" fillId="0" borderId="1" xfId="0" applyFont="1" applyBorder="1">
      <protection locked="0"/>
    </xf>
    <xf numFmtId="0" fontId="23" fillId="0" borderId="1" xfId="0" applyFont="1" applyBorder="1">
      <protection locked="0"/>
    </xf>
    <xf numFmtId="0" fontId="41" fillId="0" borderId="0" xfId="0" applyFont="1">
      <protection locked="0"/>
    </xf>
    <xf numFmtId="0" fontId="35" fillId="0" borderId="0" xfId="0" applyFont="1">
      <protection locked="0"/>
    </xf>
    <xf numFmtId="0" fontId="0" fillId="0" borderId="0" xfId="0">
      <protection locked="0"/>
    </xf>
    <xf numFmtId="0" fontId="11" fillId="0" borderId="0" xfId="0" applyFont="1">
      <protection locked="0"/>
    </xf>
    <xf numFmtId="0" fontId="32" fillId="0" borderId="0" xfId="0" applyFont="1">
      <protection locked="0"/>
    </xf>
    <xf numFmtId="0" fontId="29" fillId="0" borderId="0" xfId="0" applyFont="1">
      <protection locked="0"/>
    </xf>
    <xf numFmtId="0" fontId="39" fillId="0" borderId="0" xfId="0" applyFont="1">
      <protection locked="0"/>
    </xf>
    <xf numFmtId="0" fontId="36" fillId="0" borderId="0" xfId="0" applyFont="1">
      <protection locked="0"/>
    </xf>
    <xf numFmtId="0" fontId="26" fillId="0" borderId="0" xfId="0" applyFont="1">
      <protection locked="0"/>
    </xf>
    <xf numFmtId="0" fontId="2" fillId="0" borderId="0" xfId="0" applyFont="1" applyAlignment="1">
      <alignment horizontal="left" vertical="center"/>
      <protection locked="0"/>
    </xf>
    <xf numFmtId="0" fontId="3" fillId="2" borderId="0" xfId="0" applyFont="1" applyFill="1" applyAlignment="1">
      <alignment horizontal="center" vertical="center"/>
      <protection locked="0"/>
    </xf>
    <xf numFmtId="0" fontId="8" fillId="0" borderId="0" xfId="0" applyFont="1" applyAlignment="1">
      <alignment horizontal="center" vertical="center"/>
      <protection locked="0"/>
    </xf>
    <xf numFmtId="0" fontId="4" fillId="3" borderId="0" xfId="0" applyFont="1" applyFill="1" applyAlignment="1">
      <alignment horizontal="left" vertical="center"/>
      <protection locked="0"/>
    </xf>
    <xf numFmtId="0" fontId="4" fillId="3" borderId="0" xfId="0" applyFont="1" applyFill="1" applyAlignment="1">
      <alignment horizontal="center" vertical="center"/>
      <protection locked="0"/>
    </xf>
    <xf numFmtId="0" fontId="1" fillId="0" borderId="0" xfId="0" applyFont="1" applyAlignment="1">
      <alignment horizontal="center" vertical="center"/>
      <protection locked="0"/>
    </xf>
    <xf numFmtId="0" fontId="2" fillId="4" borderId="0" xfId="0" applyFont="1" applyFill="1" applyAlignment="1">
      <alignment horizontal="left" vertical="center"/>
      <protection locked="0"/>
    </xf>
    <xf numFmtId="0" fontId="2" fillId="4" borderId="0" xfId="0" applyFont="1" applyFill="1" applyAlignment="1">
      <alignment vertical="center" wrapText="1"/>
      <protection locked="0"/>
    </xf>
    <xf numFmtId="0" fontId="2" fillId="0" borderId="0" xfId="0" applyFont="1" applyAlignment="1">
      <alignment horizontal="center" vertical="center"/>
      <protection locked="0"/>
    </xf>
    <xf numFmtId="0" fontId="8" fillId="0" borderId="0" xfId="0" applyFont="1" applyAlignment="1">
      <alignment horizontal="left" vertical="center"/>
      <protection locked="0"/>
    </xf>
    <xf numFmtId="0" fontId="11" fillId="3" borderId="1" xfId="0" applyFont="1" applyFill="1" applyBorder="1">
      <protection locked="0"/>
    </xf>
    <xf numFmtId="0" fontId="0" fillId="0" borderId="3" xfId="0" applyBorder="1">
      <protection locked="0"/>
    </xf>
    <xf numFmtId="0" fontId="18" fillId="0" borderId="1" xfId="0" applyFont="1" applyBorder="1" applyAlignment="1">
      <alignment horizontal="left" vertical="center" wrapText="1"/>
      <protection locked="0"/>
    </xf>
    <xf numFmtId="0" fontId="0" fillId="0" borderId="4" xfId="0" applyBorder="1">
      <protection locked="0"/>
    </xf>
    <xf numFmtId="0" fontId="8" fillId="0" borderId="1" xfId="0" applyFont="1" applyBorder="1" applyAlignment="1">
      <alignment horizontal="left" vertical="center" wrapText="1"/>
      <protection locked="0"/>
    </xf>
    <xf numFmtId="0" fontId="22" fillId="0" borderId="1" xfId="0" applyFont="1" applyBorder="1" applyAlignment="1">
      <alignment horizontal="left" vertical="center" wrapText="1"/>
      <protection locked="0"/>
    </xf>
    <xf numFmtId="0" fontId="14" fillId="0" borderId="1" xfId="0" applyFont="1" applyBorder="1" applyAlignment="1">
      <alignment horizontal="left" vertical="center" wrapText="1"/>
      <protection locked="0"/>
    </xf>
    <xf numFmtId="0" fontId="21" fillId="0" borderId="1" xfId="0" applyFont="1" applyBorder="1">
      <protection locked="0"/>
    </xf>
    <xf numFmtId="0" fontId="18" fillId="0" borderId="1" xfId="0" applyFont="1" applyBorder="1" applyAlignment="1">
      <alignment vertical="top" wrapText="1"/>
      <protection locked="0"/>
    </xf>
    <xf numFmtId="0" fontId="29" fillId="0" borderId="1" xfId="0" applyFont="1" applyBorder="1" applyAlignment="1">
      <alignment horizontal="left" vertical="center" wrapText="1"/>
      <protection locked="0"/>
    </xf>
    <xf numFmtId="0" fontId="28" fillId="9" borderId="1" xfId="0" applyFont="1" applyFill="1" applyBorder="1">
      <protection locked="0"/>
    </xf>
    <xf numFmtId="0" fontId="6" fillId="0" borderId="0" xfId="0" applyFont="1" applyAlignment="1">
      <alignment horizontal="left" vertical="top" wrapText="1"/>
      <protection locked="0"/>
    </xf>
    <xf numFmtId="0" fontId="15" fillId="3" borderId="0" xfId="0" applyFont="1" applyFill="1">
      <protection locked="0"/>
    </xf>
    <xf numFmtId="0" fontId="19" fillId="2" borderId="1" xfId="0" applyFont="1" applyFill="1" applyBorder="1" applyAlignment="1">
      <alignment horizontal="center" vertical="center"/>
      <protection locked="0"/>
    </xf>
    <xf numFmtId="0" fontId="2" fillId="0" borderId="1" xfId="0" applyFont="1" applyBorder="1" applyAlignment="1">
      <alignment horizontal="left" vertical="center" wrapText="1"/>
      <protection locked="0"/>
    </xf>
    <xf numFmtId="0" fontId="2" fillId="0" borderId="0" xfId="0" applyFont="1" applyAlignment="1">
      <alignment vertical="top" wrapText="1"/>
      <protection locked="0"/>
    </xf>
    <xf numFmtId="0" fontId="42" fillId="0" borderId="0" xfId="0" applyFont="1">
      <protection locked="0"/>
    </xf>
    <xf numFmtId="0" fontId="0" fillId="0" borderId="0" xfId="0" applyAlignment="1">
      <alignment wrapText="1"/>
      <protection locked="0"/>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C00000"/>
      <rgbColor rgb="FF008000"/>
      <rgbColor rgb="FF000080"/>
      <rgbColor rgb="FF548235"/>
      <rgbColor rgb="FF800080"/>
      <rgbColor rgb="FF008080"/>
      <rgbColor rgb="FFCCCCCC"/>
      <rgbColor rgb="FF808080"/>
      <rgbColor rgb="FF9999FF"/>
      <rgbColor rgb="FF993366"/>
      <rgbColor rgb="FFFFF2CC"/>
      <rgbColor rgb="FFDDEBF7"/>
      <rgbColor rgb="FF660066"/>
      <rgbColor rgb="FFFF8080"/>
      <rgbColor rgb="FF2E75B6"/>
      <rgbColor rgb="FFD9D9D9"/>
      <rgbColor rgb="FF000080"/>
      <rgbColor rgb="FFFF00FF"/>
      <rgbColor rgb="FFFFFF00"/>
      <rgbColor rgb="FF00FFFF"/>
      <rgbColor rgb="FF800080"/>
      <rgbColor rgb="FFCC0000"/>
      <rgbColor rgb="FF008080"/>
      <rgbColor rgb="FF0000FF"/>
      <rgbColor rgb="FF00CCFF"/>
      <rgbColor rgb="FFD6E4F0"/>
      <rgbColor rgb="FFE2EFDA"/>
      <rgbColor rgb="FFFFE4B5"/>
      <rgbColor rgb="FFB3B3B3"/>
      <rgbColor rgb="FFF2F2F2"/>
      <rgbColor rgb="FFCC99FF"/>
      <rgbColor rgb="FFFFCCCC"/>
      <rgbColor rgb="FF4472C4"/>
      <rgbColor rgb="FF33CCCC"/>
      <rgbColor rgb="FF99CC00"/>
      <rgbColor rgb="FFFFCC00"/>
      <rgbColor rgb="FFFF9900"/>
      <rgbColor rgb="FFCC6600"/>
      <rgbColor rgb="FF666666"/>
      <rgbColor rgb="FF999999"/>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Jagex Limited — Valuation Summary</a:t>
            </a:r>
          </a:p>
        </c:rich>
      </c:tx>
      <c:overlay val="0"/>
      <c:spPr>
        <a:noFill/>
        <a:ln w="0">
          <a:noFill/>
          <a:prstDash val="solid"/>
        </a:ln>
      </c:spPr>
    </c:title>
    <c:autoTitleDeleted val="0"/>
    <c:plotArea>
      <c:layout/>
      <c:barChart>
        <c:barDir val="bar"/>
        <c:grouping val="stacked"/>
        <c:varyColors val="0"/>
        <c:ser>
          <c:idx val="0"/>
          <c:order val="0"/>
          <c:tx>
            <c:strRef>
              <c:f>'Football Field'!$D$18</c:f>
              <c:strCache>
                <c:ptCount val="1"/>
                <c:pt idx="0">
                  <c:v>Invisible Base</c:v>
                </c:pt>
              </c:strCache>
            </c:strRef>
          </c:tx>
          <c:spPr>
            <a:noFill/>
            <a:ln w="0">
              <a:noFill/>
              <a:prstDash val="solid"/>
            </a:ln>
          </c:spPr>
          <c:invertIfNegative val="0"/>
          <c:dLbls>
            <c:spPr>
              <a:noFill/>
              <a:ln>
                <a:noFill/>
              </a:ln>
              <a:effectLst/>
            </c:spPr>
            <c:txPr>
              <a:bodyPr/>
              <a:lstStyle/>
              <a:p>
                <a:pPr>
                  <a:defRPr sz="1000" b="0" strike="noStrike" spc="-1">
                    <a:latin typeface="Arial"/>
                  </a:defRPr>
                </a:pPr>
                <a:endParaRPr lang="en-US"/>
              </a:p>
            </c:txP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strRef>
              <c:f>'Football Field'!$A$19:$A$22</c:f>
              <c:strCache>
                <c:ptCount val="4"/>
                <c:pt idx="0">
                  <c:v>LBO analysis (15% – 20% IRR at 15x – 18x exit)</c:v>
                </c:pt>
                <c:pt idx="1">
                  <c:v>Discounted cash flow analysis (8.0% – 12.0% WACC)</c:v>
                </c:pt>
                <c:pt idx="2">
                  <c:v>Precedent transactions analysis (EV / EBITDA)</c:v>
                </c:pt>
                <c:pt idx="3">
                  <c:v>Comparable companies analysis (EV / EBITDA)</c:v>
                </c:pt>
              </c:strCache>
            </c:strRef>
          </c:cat>
          <c:val>
            <c:numRef>
              <c:f>'Football Field'!$D$19:$D$22</c:f>
              <c:numCache>
                <c:formatCode>#,##0</c:formatCode>
                <c:ptCount val="4"/>
                <c:pt idx="0">
                  <c:v>779</c:v>
                </c:pt>
                <c:pt idx="1">
                  <c:v>585</c:v>
                </c:pt>
                <c:pt idx="2">
                  <c:v>374</c:v>
                </c:pt>
                <c:pt idx="3">
                  <c:v>299</c:v>
                </c:pt>
              </c:numCache>
            </c:numRef>
          </c:val>
          <c:extLst>
            <c:ext xmlns:c16="http://schemas.microsoft.com/office/drawing/2014/chart" uri="{C3380CC4-5D6E-409C-BE32-E72D297353CC}">
              <c16:uniqueId val="{00000000-FB43-4D7A-85F3-DC4403583D2C}"/>
            </c:ext>
          </c:extLst>
        </c:ser>
        <c:ser>
          <c:idx val="1"/>
          <c:order val="1"/>
          <c:tx>
            <c:strRef>
              <c:f>'Football Field'!$E$18</c:f>
              <c:strCache>
                <c:ptCount val="1"/>
                <c:pt idx="0">
                  <c:v>Range (High - Low)</c:v>
                </c:pt>
              </c:strCache>
            </c:strRef>
          </c:tx>
          <c:spPr>
            <a:solidFill>
              <a:srgbClr val="1F3864"/>
            </a:solidFill>
            <a:ln w="0">
              <a:noFill/>
              <a:prstDash val="solid"/>
            </a:ln>
          </c:spPr>
          <c:invertIfNegative val="0"/>
          <c:dLbls>
            <c:spPr>
              <a:noFill/>
              <a:ln>
                <a:noFill/>
              </a:ln>
              <a:effectLst/>
            </c:spPr>
            <c:txPr>
              <a:bodyPr/>
              <a:lstStyle/>
              <a:p>
                <a:pPr>
                  <a:defRPr sz="1000" b="0" strike="noStrike" spc="-1">
                    <a:latin typeface="Arial"/>
                  </a:defRPr>
                </a:pPr>
                <a:endParaRPr lang="en-US"/>
              </a:p>
            </c:txP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strRef>
              <c:f>'Football Field'!$A$19:$A$22</c:f>
              <c:strCache>
                <c:ptCount val="4"/>
                <c:pt idx="0">
                  <c:v>LBO analysis (15% – 20% IRR at 15x – 18x exit)</c:v>
                </c:pt>
                <c:pt idx="1">
                  <c:v>Discounted cash flow analysis (8.0% – 12.0% WACC)</c:v>
                </c:pt>
                <c:pt idx="2">
                  <c:v>Precedent transactions analysis (EV / EBITDA)</c:v>
                </c:pt>
                <c:pt idx="3">
                  <c:v>Comparable companies analysis (EV / EBITDA)</c:v>
                </c:pt>
              </c:strCache>
            </c:strRef>
          </c:cat>
          <c:val>
            <c:numRef>
              <c:f>'Football Field'!$E$19:$E$22</c:f>
              <c:numCache>
                <c:formatCode>#,##0</c:formatCode>
                <c:ptCount val="4"/>
                <c:pt idx="0">
                  <c:v>297</c:v>
                </c:pt>
                <c:pt idx="1">
                  <c:v>708</c:v>
                </c:pt>
                <c:pt idx="2">
                  <c:v>810</c:v>
                </c:pt>
                <c:pt idx="3">
                  <c:v>634</c:v>
                </c:pt>
              </c:numCache>
            </c:numRef>
          </c:val>
          <c:extLst>
            <c:ext xmlns:c16="http://schemas.microsoft.com/office/drawing/2014/chart" uri="{C3380CC4-5D6E-409C-BE32-E72D297353CC}">
              <c16:uniqueId val="{00000001-FB43-4D7A-85F3-DC4403583D2C}"/>
            </c:ext>
          </c:extLst>
        </c:ser>
        <c:dLbls>
          <c:showLegendKey val="0"/>
          <c:showVal val="0"/>
          <c:showCatName val="0"/>
          <c:showSerName val="0"/>
          <c:showPercent val="0"/>
          <c:showBubbleSize val="0"/>
        </c:dLbls>
        <c:gapWidth val="150"/>
        <c:overlap val="100"/>
        <c:axId val="42588495"/>
        <c:axId val="41147429"/>
      </c:barChart>
      <c:catAx>
        <c:axId val="42588495"/>
        <c:scaling>
          <c:orientation val="minMax"/>
        </c:scaling>
        <c:delete val="0"/>
        <c:axPos val="l"/>
        <c:numFmt formatCode="General" sourceLinked="1"/>
        <c:majorTickMark val="none"/>
        <c:minorTickMark val="none"/>
        <c:tickLblPos val="nextTo"/>
        <c:spPr>
          <a:ln w="0">
            <a:solidFill>
              <a:srgbClr val="B3B3B3"/>
            </a:solidFill>
            <a:prstDash val="solid"/>
          </a:ln>
        </c:spPr>
        <c:txPr>
          <a:bodyPr/>
          <a:lstStyle/>
          <a:p>
            <a:pPr>
              <a:defRPr sz="1000" b="0" strike="noStrike" spc="-1">
                <a:solidFill>
                  <a:srgbClr val="000000"/>
                </a:solidFill>
                <a:latin typeface="Calibri"/>
              </a:defRPr>
            </a:pPr>
            <a:endParaRPr lang="en-US"/>
          </a:p>
        </c:txPr>
        <c:crossAx val="41147429"/>
        <c:crosses val="autoZero"/>
        <c:auto val="1"/>
        <c:lblAlgn val="ctr"/>
        <c:lblOffset val="100"/>
        <c:noMultiLvlLbl val="0"/>
      </c:catAx>
      <c:valAx>
        <c:axId val="41147429"/>
        <c:scaling>
          <c:orientation val="minMax"/>
        </c:scaling>
        <c:delete val="0"/>
        <c:axPos val="b"/>
        <c:majorGridlines>
          <c:spPr>
            <a:ln w="0">
              <a:solidFill>
                <a:srgbClr val="B3B3B3"/>
              </a:solidFill>
              <a:prstDash val="solid"/>
            </a:ln>
          </c:spPr>
        </c:majorGridlines>
        <c:title>
          <c:tx>
            <c:rich>
              <a:bodyPr/>
              <a:lstStyle/>
              <a:p>
                <a:pPr>
                  <a:defRPr/>
                </a:pPr>
                <a:r>
                  <a:rPr lang="en-US"/>
                  <a:t>Implied Enterprise Value ($M)</a:t>
                </a:r>
              </a:p>
            </c:rich>
          </c:tx>
          <c:layout>
            <c:manualLayout>
              <c:xMode val="edge"/>
              <c:yMode val="edge"/>
              <c:x val="0.57855115981508998"/>
              <c:y val="0.91781298952382617"/>
            </c:manualLayout>
          </c:layout>
          <c:overlay val="0"/>
        </c:title>
        <c:numFmt formatCode="&quot;$&quot;#,##0" sourceLinked="0"/>
        <c:majorTickMark val="none"/>
        <c:minorTickMark val="none"/>
        <c:tickLblPos val="nextTo"/>
        <c:spPr>
          <a:ln w="0">
            <a:solidFill>
              <a:srgbClr val="B3B3B3"/>
            </a:solidFill>
            <a:prstDash val="solid"/>
          </a:ln>
        </c:spPr>
        <c:txPr>
          <a:bodyPr/>
          <a:lstStyle/>
          <a:p>
            <a:pPr>
              <a:defRPr sz="1000" b="0" strike="noStrike" spc="-1">
                <a:solidFill>
                  <a:srgbClr val="000000"/>
                </a:solidFill>
                <a:latin typeface="Calibri"/>
              </a:defRPr>
            </a:pPr>
            <a:endParaRPr lang="en-US"/>
          </a:p>
        </c:txPr>
        <c:crossAx val="42588495"/>
        <c:crosses val="autoZero"/>
        <c:crossBetween val="between"/>
      </c:valAx>
    </c:plotArea>
    <c:plotVisOnly val="1"/>
    <c:dispBlanksAs val="gap"/>
    <c:showDLblsOverMax val="1"/>
  </c:chart>
  <c:spPr>
    <a:solidFill>
      <a:srgbClr val="FFFFFF"/>
    </a:solidFill>
    <a:ln w="9360">
      <a:solidFill>
        <a:srgbClr val="D9D9D9"/>
      </a:solidFill>
      <a:prstDash val="solid"/>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32</xdr:row>
      <xdr:rowOff>0</xdr:rowOff>
    </xdr:from>
    <xdr:to>
      <xdr:col>5</xdr:col>
      <xdr:colOff>3420</xdr:colOff>
      <xdr:row>50</xdr:row>
      <xdr:rowOff>142620</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twoCellAnchor>
  <xdr:twoCellAnchor>
    <xdr:from>
      <xdr:col>3</xdr:col>
      <xdr:colOff>617220</xdr:colOff>
      <xdr:row>34</xdr:row>
      <xdr:rowOff>99060</xdr:rowOff>
    </xdr:from>
    <xdr:to>
      <xdr:col>3</xdr:col>
      <xdr:colOff>617220</xdr:colOff>
      <xdr:row>48</xdr:row>
      <xdr:rowOff>60960</xdr:rowOff>
    </xdr:to>
    <xdr:cxnSp macro="">
      <xdr:nvCxnSpPr>
        <xdr:cNvPr id="4" name="Straight Connector 3">
          <a:extLst>
            <a:ext uri="{FF2B5EF4-FFF2-40B4-BE49-F238E27FC236}">
              <a16:creationId xmlns:a16="http://schemas.microsoft.com/office/drawing/2014/main" id="{BDAA44D2-E2B3-CBEE-9BFE-BD5E1B3F6D82}"/>
            </a:ext>
          </a:extLst>
        </xdr:cNvPr>
        <xdr:cNvCxnSpPr/>
      </xdr:nvCxnSpPr>
      <xdr:spPr>
        <a:xfrm>
          <a:off x="6515100" y="6743700"/>
          <a:ext cx="0" cy="2522220"/>
        </a:xfrm>
        <a:prstGeom prst="line">
          <a:avLst/>
        </a:prstGeom>
        <a:ln w="9525" cap="flat" cmpd="sng" algn="ctr">
          <a:solidFill>
            <a:srgbClr val="FF0000"/>
          </a:solidFill>
          <a:prstDash val="dash"/>
          <a:round/>
          <a:headEnd type="none" w="med" len="med"/>
          <a:tailEnd type="none" w="med" len="med"/>
        </a:ln>
      </xdr:spPr>
      <xdr:style>
        <a:lnRef idx="0">
          <a:scrgbClr r="0" g="0" b="0"/>
        </a:lnRef>
        <a:fillRef idx="0">
          <a:scrgbClr r="0" g="0" b="0"/>
        </a:fillRef>
        <a:effectRef idx="0">
          <a:scrgbClr r="0" g="0" b="0"/>
        </a:effectRef>
        <a:fontRef idx="minor">
          <a:schemeClr val="tx1"/>
        </a:fontRef>
      </xdr:style>
    </xdr:cxnSp>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0.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9D40AC-799F-4044-BDB8-15328F1CDDF4}">
  <dimension ref="A1:A5"/>
  <sheetViews>
    <sheetView tabSelected="1" workbookViewId="0"/>
  </sheetViews>
  <sheetFormatPr defaultRowHeight="14.4" x14ac:dyDescent="0.3"/>
  <cols>
    <col min="1" max="1" width="110.77734375" customWidth="1"/>
  </cols>
  <sheetData>
    <row r="1" spans="1:1" ht="21" x14ac:dyDescent="0.4">
      <c r="A1" s="211" t="s">
        <v>1329</v>
      </c>
    </row>
    <row r="3" spans="1:1" ht="90" customHeight="1" x14ac:dyDescent="0.3">
      <c r="A3" s="212" t="s">
        <v>1330</v>
      </c>
    </row>
    <row r="5" spans="1:1" x14ac:dyDescent="0.3">
      <c r="A5" t="s">
        <v>1331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3864"/>
  </sheetPr>
  <dimension ref="A1:G79"/>
  <sheetViews>
    <sheetView zoomScaleNormal="100" workbookViewId="0">
      <pane ySplit="3" topLeftCell="A4" activePane="bottomLeft" state="frozen"/>
      <selection pane="bottomLeft" sqref="A1:G1"/>
    </sheetView>
  </sheetViews>
  <sheetFormatPr defaultColWidth="8.6640625" defaultRowHeight="14.4" x14ac:dyDescent="0.3"/>
  <cols>
    <col min="1" max="1" width="32" customWidth="1"/>
    <col min="2" max="6" width="16" customWidth="1"/>
    <col min="7" max="7" width="32" customWidth="1"/>
  </cols>
  <sheetData>
    <row r="1" spans="1:7" ht="30" customHeight="1" x14ac:dyDescent="0.3">
      <c r="A1" s="190" t="s">
        <v>0</v>
      </c>
      <c r="B1" s="178"/>
      <c r="C1" s="178"/>
      <c r="D1" s="178"/>
      <c r="E1" s="178"/>
      <c r="F1" s="178"/>
      <c r="G1" s="178"/>
    </row>
    <row r="2" spans="1:7" ht="15" customHeight="1" x14ac:dyDescent="0.3">
      <c r="A2" s="193" t="s">
        <v>1</v>
      </c>
      <c r="B2" s="178"/>
      <c r="C2" s="178"/>
      <c r="D2" s="178"/>
      <c r="E2" s="178"/>
      <c r="F2" s="178"/>
      <c r="G2" s="178"/>
    </row>
    <row r="3" spans="1:7" ht="15" customHeight="1" x14ac:dyDescent="0.3">
      <c r="A3" s="193" t="s">
        <v>2</v>
      </c>
      <c r="B3" s="178"/>
      <c r="C3" s="178"/>
      <c r="D3" s="178"/>
      <c r="E3" s="178"/>
      <c r="F3" s="178"/>
      <c r="G3" s="178"/>
    </row>
    <row r="5" spans="1:7" ht="21.75" customHeight="1" x14ac:dyDescent="0.3">
      <c r="A5" s="186" t="s">
        <v>3</v>
      </c>
      <c r="B5" s="178"/>
      <c r="C5" s="178"/>
      <c r="D5" s="178"/>
      <c r="E5" s="178"/>
      <c r="F5" s="178"/>
      <c r="G5" s="178"/>
    </row>
    <row r="6" spans="1:7" ht="15" customHeight="1" x14ac:dyDescent="0.3">
      <c r="A6" s="3" t="s">
        <v>4</v>
      </c>
      <c r="B6" s="4">
        <v>1136</v>
      </c>
      <c r="C6" s="5"/>
      <c r="D6" s="185" t="s">
        <v>5</v>
      </c>
      <c r="E6" s="178"/>
      <c r="F6" s="178"/>
      <c r="G6" s="178"/>
    </row>
    <row r="7" spans="1:7" ht="15" customHeight="1" x14ac:dyDescent="0.3">
      <c r="A7" s="3" t="s">
        <v>6</v>
      </c>
      <c r="B7" s="6">
        <v>900</v>
      </c>
      <c r="C7" s="5"/>
      <c r="D7" s="185" t="s">
        <v>7</v>
      </c>
      <c r="E7" s="178"/>
      <c r="F7" s="178"/>
      <c r="G7" s="178"/>
    </row>
    <row r="8" spans="1:7" ht="15" customHeight="1" x14ac:dyDescent="0.3">
      <c r="A8" s="3" t="s">
        <v>8</v>
      </c>
      <c r="B8" s="4">
        <v>1087</v>
      </c>
      <c r="C8" s="5"/>
      <c r="D8" s="185" t="s">
        <v>9</v>
      </c>
      <c r="E8" s="178"/>
      <c r="F8" s="178"/>
      <c r="G8" s="178"/>
    </row>
    <row r="9" spans="1:7" ht="15" customHeight="1" x14ac:dyDescent="0.3">
      <c r="A9" s="3" t="s">
        <v>10</v>
      </c>
      <c r="B9" s="7">
        <v>75</v>
      </c>
      <c r="C9" s="5"/>
      <c r="D9" s="185" t="s">
        <v>11</v>
      </c>
      <c r="E9" s="178"/>
      <c r="F9" s="178"/>
      <c r="G9" s="178"/>
    </row>
    <row r="10" spans="1:7" ht="15" customHeight="1" x14ac:dyDescent="0.3">
      <c r="A10" s="3" t="s">
        <v>12</v>
      </c>
      <c r="B10" s="7">
        <v>56.4</v>
      </c>
      <c r="C10" s="5"/>
      <c r="D10" s="185" t="s">
        <v>13</v>
      </c>
      <c r="E10" s="178"/>
      <c r="F10" s="178"/>
      <c r="G10" s="178"/>
    </row>
    <row r="11" spans="1:7" ht="15" customHeight="1" x14ac:dyDescent="0.3">
      <c r="A11" s="3" t="s">
        <v>14</v>
      </c>
      <c r="B11" s="7">
        <v>164.15</v>
      </c>
      <c r="C11" s="5"/>
      <c r="D11" s="185" t="s">
        <v>15</v>
      </c>
      <c r="E11" s="178"/>
      <c r="F11" s="178"/>
      <c r="G11" s="178"/>
    </row>
    <row r="12" spans="1:7" ht="15" customHeight="1" x14ac:dyDescent="0.3">
      <c r="A12" s="3" t="s">
        <v>16</v>
      </c>
      <c r="B12" s="7">
        <v>971.85</v>
      </c>
      <c r="C12" s="5"/>
      <c r="D12" s="185" t="s">
        <v>17</v>
      </c>
      <c r="E12" s="178"/>
      <c r="F12" s="178"/>
      <c r="G12" s="178"/>
    </row>
    <row r="13" spans="1:7" ht="15" customHeight="1" x14ac:dyDescent="0.3">
      <c r="A13" s="3" t="s">
        <v>18</v>
      </c>
      <c r="B13" s="8">
        <v>15.1</v>
      </c>
      <c r="C13" s="5"/>
      <c r="D13" s="185" t="s">
        <v>19</v>
      </c>
      <c r="E13" s="178"/>
      <c r="F13" s="178"/>
      <c r="G13" s="178"/>
    </row>
    <row r="15" spans="1:7" ht="21.75" customHeight="1" x14ac:dyDescent="0.3">
      <c r="A15" s="186" t="s">
        <v>20</v>
      </c>
      <c r="B15" s="178"/>
      <c r="C15" s="178"/>
      <c r="D15" s="178"/>
      <c r="E15" s="178"/>
      <c r="F15" s="178"/>
      <c r="G15" s="178"/>
    </row>
    <row r="16" spans="1:7" ht="15" customHeight="1" x14ac:dyDescent="0.3">
      <c r="A16" s="9" t="s">
        <v>21</v>
      </c>
      <c r="B16" s="9" t="s">
        <v>22</v>
      </c>
      <c r="C16" s="9" t="s">
        <v>23</v>
      </c>
      <c r="D16" s="9" t="s">
        <v>24</v>
      </c>
      <c r="E16" s="188" t="s">
        <v>25</v>
      </c>
      <c r="F16" s="178"/>
      <c r="G16" s="178"/>
    </row>
    <row r="17" spans="1:7" ht="15" customHeight="1" x14ac:dyDescent="0.3">
      <c r="A17" s="11" t="s">
        <v>26</v>
      </c>
      <c r="B17" s="12">
        <f>'LBO Model'!C110</f>
        <v>1.5717798140625006</v>
      </c>
      <c r="C17" s="12">
        <f>'LBO Model'!D131</f>
        <v>1.9314030355200005</v>
      </c>
      <c r="D17" s="12">
        <f>'LBO Model'!E131</f>
        <v>1.1337042609924477</v>
      </c>
      <c r="E17" s="185" t="s">
        <v>27</v>
      </c>
      <c r="F17" s="178"/>
      <c r="G17" s="178"/>
    </row>
    <row r="18" spans="1:7" ht="15" customHeight="1" x14ac:dyDescent="0.3">
      <c r="A18" s="11" t="s">
        <v>28</v>
      </c>
      <c r="B18" s="12">
        <f>'LBO Model'!C111</f>
        <v>1.5717798140625006</v>
      </c>
      <c r="C18" s="12">
        <f>'LBO Model'!D131</f>
        <v>1.9314030355200005</v>
      </c>
      <c r="D18" s="12">
        <f>'LBO Model'!E131</f>
        <v>1.1337042609924477</v>
      </c>
      <c r="E18" s="185" t="s">
        <v>29</v>
      </c>
      <c r="F18" s="178"/>
      <c r="G18" s="178"/>
    </row>
    <row r="19" spans="1:7" ht="15" customHeight="1" x14ac:dyDescent="0.3">
      <c r="A19" s="11" t="s">
        <v>30</v>
      </c>
      <c r="B19" s="13">
        <f>'LBO Model'!C112</f>
        <v>9.465771281073776E-2</v>
      </c>
      <c r="C19" s="13">
        <f>'LBO Model'!D132</f>
        <v>0.14070824842218888</v>
      </c>
      <c r="D19" s="13">
        <f>'LBO Model'!E132</f>
        <v>2.541568395753635E-2</v>
      </c>
      <c r="E19" s="185" t="s">
        <v>31</v>
      </c>
      <c r="F19" s="178"/>
      <c r="G19" s="178"/>
    </row>
    <row r="20" spans="1:7" ht="15" customHeight="1" x14ac:dyDescent="0.3">
      <c r="A20" s="14" t="s">
        <v>32</v>
      </c>
      <c r="B20" s="15">
        <f>IF(('LBO Model'!$C$130+'LBO Model'!$C$209-MAX(0,'LBO Model'!$C$130+'LBO Model'!$C$209-'LBO Model'!$C$210)*'LBO Model'!$C$201)&lt;=0,"N/A",(('LBO Model'!$C$130+'LBO Model'!$C$209-MAX(0,'LBO Model'!$C$130+'LBO Model'!$C$209-'LBO Model'!$C$210)*'LBO Model'!$C$201)/'LBO Model'!$C$9)^(1/5)-1)</f>
        <v>8.0288182177237211E-2</v>
      </c>
      <c r="C20" s="16">
        <f>IF(('LBO Model'!$D$130+'LBO Model'!$C$209-MAX(0,'LBO Model'!$D$130+'LBO Model'!$C$209-'LBO Model'!$C$210)*'LBO Model'!$C$201)&lt;=0,"N/A",(('LBO Model'!$D$130+'LBO Model'!$C$209-MAX(0,'LBO Model'!$D$130+'LBO Model'!$C$209-'LBO Model'!$C$210)*'LBO Model'!$C$201)/'LBO Model'!$C$9)^(1/5)-1)</f>
        <v>0.11957341547305234</v>
      </c>
      <c r="D20" s="16">
        <f>IF(('LBO Model'!$E$130+'LBO Model'!$C$209-MAX(0,'LBO Model'!$E$130+'LBO Model'!$C$209-'LBO Model'!$C$210)*'LBO Model'!$C$201)&lt;=0,"N/A",(('LBO Model'!$E$130+'LBO Model'!$C$209-MAX(0,'LBO Model'!$E$130+'LBO Model'!$C$209-'LBO Model'!$C$210)*'LBO Model'!$C$201)/'LBO Model'!$C$9)^(1/5)-1)</f>
        <v>6.6517695334273874E-3</v>
      </c>
      <c r="E20" s="192" t="s">
        <v>33</v>
      </c>
      <c r="F20" s="178"/>
      <c r="G20" s="178"/>
    </row>
    <row r="22" spans="1:7" ht="21.75" customHeight="1" x14ac:dyDescent="0.3">
      <c r="A22" s="186" t="s">
        <v>34</v>
      </c>
      <c r="B22" s="178"/>
      <c r="C22" s="178"/>
      <c r="D22" s="178"/>
      <c r="E22" s="178"/>
      <c r="F22" s="178"/>
      <c r="G22" s="178"/>
    </row>
    <row r="23" spans="1:7" ht="15" customHeight="1" x14ac:dyDescent="0.3">
      <c r="A23" s="9" t="s">
        <v>35</v>
      </c>
      <c r="B23" s="9" t="s">
        <v>36</v>
      </c>
      <c r="C23" s="9" t="s">
        <v>37</v>
      </c>
      <c r="D23" s="188" t="s">
        <v>38</v>
      </c>
      <c r="E23" s="178"/>
      <c r="F23" s="178"/>
      <c r="G23" s="178"/>
    </row>
    <row r="24" spans="1:7" ht="15" customHeight="1" x14ac:dyDescent="0.3">
      <c r="A24" s="11" t="s">
        <v>39</v>
      </c>
      <c r="B24" s="17">
        <f>'LBO Model'!C148</f>
        <v>320.38449850909137</v>
      </c>
      <c r="C24" s="13">
        <f>'LBO Model'!C155</f>
        <v>0.73461302333336354</v>
      </c>
      <c r="D24" s="185" t="s">
        <v>40</v>
      </c>
      <c r="E24" s="178"/>
      <c r="F24" s="178"/>
      <c r="G24" s="178"/>
    </row>
    <row r="25" spans="1:7" ht="15" customHeight="1" x14ac:dyDescent="0.3">
      <c r="A25" s="11" t="s">
        <v>41</v>
      </c>
      <c r="B25" s="17">
        <f>'LBO Model'!C149</f>
        <v>-16.257601309090887</v>
      </c>
      <c r="C25" s="13">
        <f>'LBO Model'!C156</f>
        <v>-3.7277226911403775E-2</v>
      </c>
      <c r="D25" s="185" t="s">
        <v>42</v>
      </c>
      <c r="E25" s="178"/>
      <c r="F25" s="178"/>
      <c r="G25" s="178"/>
    </row>
    <row r="26" spans="1:7" ht="15" customHeight="1" x14ac:dyDescent="0.3">
      <c r="A26" s="11" t="s">
        <v>43</v>
      </c>
      <c r="B26" s="17">
        <f>'LBO Model'!C150</f>
        <v>132</v>
      </c>
      <c r="C26" s="13">
        <f>'LBO Model'!C157</f>
        <v>0.3026642035780403</v>
      </c>
      <c r="D26" s="185" t="s">
        <v>44</v>
      </c>
      <c r="E26" s="178"/>
      <c r="F26" s="178"/>
      <c r="G26" s="178"/>
    </row>
    <row r="27" spans="1:7" ht="15" customHeight="1" x14ac:dyDescent="0.3">
      <c r="A27" s="14" t="s">
        <v>45</v>
      </c>
      <c r="B27" s="18">
        <f>'LBO Model'!C151</f>
        <v>436.12689720000049</v>
      </c>
      <c r="C27" s="19" t="s">
        <v>46</v>
      </c>
      <c r="D27" s="191" t="s">
        <v>47</v>
      </c>
      <c r="E27" s="178"/>
      <c r="F27" s="178"/>
      <c r="G27" s="178"/>
    </row>
    <row r="29" spans="1:7" ht="21.75" customHeight="1" x14ac:dyDescent="0.3">
      <c r="A29" s="186" t="s">
        <v>48</v>
      </c>
      <c r="B29" s="178"/>
      <c r="C29" s="178"/>
      <c r="D29" s="178"/>
      <c r="E29" s="178"/>
      <c r="F29" s="178"/>
      <c r="G29" s="178"/>
    </row>
    <row r="30" spans="1:7" ht="15" customHeight="1" x14ac:dyDescent="0.3">
      <c r="A30" s="9" t="s">
        <v>49</v>
      </c>
      <c r="B30" s="9" t="s">
        <v>50</v>
      </c>
      <c r="C30" s="9" t="s">
        <v>51</v>
      </c>
      <c r="D30" s="9" t="s">
        <v>52</v>
      </c>
      <c r="E30" s="9" t="s">
        <v>53</v>
      </c>
      <c r="F30" s="188" t="s">
        <v>25</v>
      </c>
      <c r="G30" s="178"/>
    </row>
    <row r="31" spans="1:7" ht="15" customHeight="1" x14ac:dyDescent="0.3">
      <c r="A31" s="11" t="s">
        <v>54</v>
      </c>
      <c r="B31" s="20">
        <f>'Football Field'!B5</f>
        <v>299</v>
      </c>
      <c r="C31" s="20">
        <f>'Football Field'!D5</f>
        <v>616</v>
      </c>
      <c r="D31" s="20">
        <f>'Football Field'!C5</f>
        <v>933</v>
      </c>
      <c r="E31" s="21">
        <v>1136</v>
      </c>
      <c r="F31" s="185" t="s">
        <v>55</v>
      </c>
      <c r="G31" s="178"/>
    </row>
    <row r="32" spans="1:7" ht="15" customHeight="1" x14ac:dyDescent="0.3">
      <c r="A32" s="11" t="s">
        <v>56</v>
      </c>
      <c r="B32" s="20">
        <f>CCA!C53</f>
        <v>517.5</v>
      </c>
      <c r="C32" s="20">
        <f>(CCA!C97+CCA!C53)/2</f>
        <v>556.95209807886749</v>
      </c>
      <c r="D32" s="20">
        <f>CCA!C97</f>
        <v>596.4041961577351</v>
      </c>
      <c r="E32" s="21">
        <v>1136</v>
      </c>
      <c r="F32" s="185" t="s">
        <v>57</v>
      </c>
      <c r="G32" s="178"/>
    </row>
    <row r="33" spans="1:7" ht="15" customHeight="1" x14ac:dyDescent="0.3">
      <c r="A33" s="11" t="s">
        <v>58</v>
      </c>
      <c r="B33" s="20">
        <f>'Football Field'!B6</f>
        <v>374</v>
      </c>
      <c r="C33" s="20">
        <f>'Football Field'!D6</f>
        <v>779</v>
      </c>
      <c r="D33" s="20">
        <f>'Football Field'!C6</f>
        <v>1184</v>
      </c>
      <c r="E33" s="21">
        <v>1136</v>
      </c>
      <c r="F33" s="185" t="s">
        <v>59</v>
      </c>
      <c r="G33" s="178"/>
    </row>
    <row r="34" spans="1:7" ht="15" customHeight="1" x14ac:dyDescent="0.3">
      <c r="A34" s="11" t="s">
        <v>60</v>
      </c>
      <c r="B34" s="20">
        <f>'Football Field'!B9</f>
        <v>1192.5</v>
      </c>
      <c r="C34" s="20">
        <f>'Football Field'!D9</f>
        <v>1353.75</v>
      </c>
      <c r="D34" s="20">
        <f>'Football Field'!C9</f>
        <v>1515</v>
      </c>
      <c r="E34" s="21">
        <v>1136</v>
      </c>
      <c r="F34" s="185" t="s">
        <v>61</v>
      </c>
      <c r="G34" s="178"/>
    </row>
    <row r="35" spans="1:7" ht="15" customHeight="1" x14ac:dyDescent="0.3">
      <c r="A35" s="11" t="s">
        <v>62</v>
      </c>
      <c r="B35" s="20">
        <f>'Football Field'!B7</f>
        <v>585</v>
      </c>
      <c r="C35" s="20">
        <f>'Football Field'!D7</f>
        <v>939</v>
      </c>
      <c r="D35" s="20">
        <f>'Football Field'!C7</f>
        <v>1293</v>
      </c>
      <c r="E35" s="21">
        <v>1136</v>
      </c>
      <c r="F35" s="185" t="s">
        <v>63</v>
      </c>
      <c r="G35" s="178"/>
    </row>
    <row r="36" spans="1:7" ht="15" customHeight="1" x14ac:dyDescent="0.3">
      <c r="A36" s="11" t="s">
        <v>64</v>
      </c>
      <c r="B36" s="20">
        <f>'Football Field'!B8</f>
        <v>779</v>
      </c>
      <c r="C36" s="20">
        <f>'Football Field'!D8</f>
        <v>927.5</v>
      </c>
      <c r="D36" s="20">
        <f>'Football Field'!C8</f>
        <v>1076</v>
      </c>
      <c r="E36" s="21">
        <v>1136</v>
      </c>
      <c r="F36" s="185" t="s">
        <v>65</v>
      </c>
      <c r="G36" s="178"/>
    </row>
    <row r="38" spans="1:7" ht="15" customHeight="1" x14ac:dyDescent="0.3">
      <c r="A38" s="14" t="s">
        <v>66</v>
      </c>
      <c r="B38" s="22"/>
      <c r="C38" s="19" t="s">
        <v>67</v>
      </c>
      <c r="D38" s="22"/>
      <c r="E38" s="23">
        <v>1136</v>
      </c>
      <c r="F38" s="191" t="s">
        <v>68</v>
      </c>
      <c r="G38" s="178"/>
    </row>
    <row r="40" spans="1:7" ht="21.75" customHeight="1" x14ac:dyDescent="0.3">
      <c r="A40" s="186" t="s">
        <v>69</v>
      </c>
      <c r="B40" s="178"/>
      <c r="C40" s="178"/>
      <c r="D40" s="178"/>
      <c r="E40" s="178"/>
      <c r="F40" s="178"/>
      <c r="G40" s="178"/>
    </row>
    <row r="41" spans="1:7" ht="15" customHeight="1" x14ac:dyDescent="0.3">
      <c r="A41" s="10" t="s">
        <v>70</v>
      </c>
      <c r="B41" s="9" t="s">
        <v>71</v>
      </c>
      <c r="C41" s="189" t="s">
        <v>72</v>
      </c>
      <c r="D41" s="178"/>
      <c r="E41" s="178"/>
      <c r="F41" s="178"/>
      <c r="G41" s="178"/>
    </row>
    <row r="42" spans="1:7" ht="31.5" customHeight="1" x14ac:dyDescent="0.3">
      <c r="A42" s="24" t="s">
        <v>73</v>
      </c>
      <c r="B42" s="25" t="s">
        <v>74</v>
      </c>
      <c r="C42" s="187" t="s">
        <v>75</v>
      </c>
      <c r="D42" s="178"/>
      <c r="E42" s="178"/>
      <c r="F42" s="178"/>
      <c r="G42" s="178"/>
    </row>
    <row r="43" spans="1:7" ht="31.5" customHeight="1" x14ac:dyDescent="0.3">
      <c r="A43" s="24" t="s">
        <v>76</v>
      </c>
      <c r="B43" s="25" t="s">
        <v>74</v>
      </c>
      <c r="C43" s="187" t="s">
        <v>77</v>
      </c>
      <c r="D43" s="178"/>
      <c r="E43" s="178"/>
      <c r="F43" s="178"/>
      <c r="G43" s="178"/>
    </row>
    <row r="44" spans="1:7" ht="31.5" customHeight="1" x14ac:dyDescent="0.3">
      <c r="A44" s="24" t="s">
        <v>78</v>
      </c>
      <c r="B44" s="25" t="s">
        <v>79</v>
      </c>
      <c r="C44" s="187" t="s">
        <v>80</v>
      </c>
      <c r="D44" s="178"/>
      <c r="E44" s="178"/>
      <c r="F44" s="178"/>
      <c r="G44" s="178"/>
    </row>
    <row r="45" spans="1:7" ht="31.5" customHeight="1" x14ac:dyDescent="0.3">
      <c r="A45" s="24" t="s">
        <v>81</v>
      </c>
      <c r="B45" s="25" t="s">
        <v>82</v>
      </c>
      <c r="C45" s="187" t="s">
        <v>83</v>
      </c>
      <c r="D45" s="178"/>
      <c r="E45" s="178"/>
      <c r="F45" s="178"/>
      <c r="G45" s="178"/>
    </row>
    <row r="46" spans="1:7" ht="15" customHeight="1" x14ac:dyDescent="0.3">
      <c r="A46" s="24" t="s">
        <v>84</v>
      </c>
      <c r="B46" s="25" t="s">
        <v>82</v>
      </c>
      <c r="C46" s="25" t="s">
        <v>85</v>
      </c>
      <c r="D46" s="5" t="s">
        <v>86</v>
      </c>
    </row>
    <row r="47" spans="1:7" ht="15" customHeight="1" x14ac:dyDescent="0.3">
      <c r="A47" s="24" t="s">
        <v>87</v>
      </c>
      <c r="B47" s="25" t="s">
        <v>88</v>
      </c>
      <c r="C47" s="187" t="s">
        <v>89</v>
      </c>
      <c r="D47" s="178"/>
      <c r="E47" s="178"/>
      <c r="F47" s="178"/>
      <c r="G47" s="178"/>
    </row>
    <row r="48" spans="1:7" ht="15" customHeight="1" x14ac:dyDescent="0.3">
      <c r="A48" s="24" t="s">
        <v>90</v>
      </c>
      <c r="B48" s="25" t="s">
        <v>91</v>
      </c>
      <c r="C48" s="25" t="s">
        <v>92</v>
      </c>
      <c r="D48" s="5" t="s">
        <v>93</v>
      </c>
    </row>
    <row r="49" spans="1:7" ht="21.75" customHeight="1" x14ac:dyDescent="0.3">
      <c r="A49" s="194" t="s">
        <v>94</v>
      </c>
      <c r="B49" s="178"/>
      <c r="C49" s="178"/>
      <c r="D49" s="178"/>
      <c r="E49" s="178"/>
      <c r="F49" s="178"/>
      <c r="G49" s="178"/>
    </row>
    <row r="50" spans="1:7" ht="15" customHeight="1" x14ac:dyDescent="0.3">
      <c r="A50" s="24" t="s">
        <v>95</v>
      </c>
      <c r="B50" s="25" t="s">
        <v>96</v>
      </c>
      <c r="C50" s="25" t="s">
        <v>97</v>
      </c>
      <c r="D50" s="185" t="s">
        <v>98</v>
      </c>
      <c r="E50" s="178"/>
      <c r="F50" s="178"/>
      <c r="G50" s="178"/>
    </row>
    <row r="51" spans="1:7" ht="15.75" customHeight="1" x14ac:dyDescent="0.3">
      <c r="A51" s="24" t="s">
        <v>99</v>
      </c>
      <c r="B51" s="25" t="s">
        <v>96</v>
      </c>
      <c r="C51" s="25" t="s">
        <v>100</v>
      </c>
      <c r="D51" s="185" t="s">
        <v>101</v>
      </c>
      <c r="E51" s="178"/>
      <c r="F51" s="178"/>
      <c r="G51" s="178"/>
    </row>
    <row r="52" spans="1:7" ht="15.75" customHeight="1" x14ac:dyDescent="0.3">
      <c r="A52" s="24" t="s">
        <v>102</v>
      </c>
      <c r="B52" s="25" t="s">
        <v>96</v>
      </c>
      <c r="C52" s="25" t="s">
        <v>103</v>
      </c>
      <c r="D52" s="185" t="s">
        <v>104</v>
      </c>
      <c r="E52" s="178"/>
      <c r="F52" s="178"/>
      <c r="G52" s="178"/>
    </row>
    <row r="53" spans="1:7" ht="15.75" customHeight="1" x14ac:dyDescent="0.3">
      <c r="A53" s="24" t="s">
        <v>105</v>
      </c>
      <c r="B53" s="25" t="s">
        <v>96</v>
      </c>
      <c r="C53" s="25" t="s">
        <v>106</v>
      </c>
      <c r="D53" s="185" t="s">
        <v>107</v>
      </c>
      <c r="E53" s="178"/>
      <c r="F53" s="178"/>
      <c r="G53" s="178"/>
    </row>
    <row r="54" spans="1:7" ht="15.75" customHeight="1" x14ac:dyDescent="0.3">
      <c r="A54" s="24" t="s">
        <v>108</v>
      </c>
      <c r="B54" s="25" t="s">
        <v>96</v>
      </c>
      <c r="C54" s="25" t="s">
        <v>109</v>
      </c>
      <c r="D54" s="185" t="s">
        <v>110</v>
      </c>
      <c r="E54" s="178"/>
      <c r="F54" s="178"/>
      <c r="G54" s="178"/>
    </row>
    <row r="55" spans="1:7" ht="15.75" customHeight="1" x14ac:dyDescent="0.3">
      <c r="A55" s="24" t="s">
        <v>111</v>
      </c>
      <c r="B55" s="25" t="s">
        <v>96</v>
      </c>
      <c r="C55" s="25" t="s">
        <v>112</v>
      </c>
      <c r="D55" s="185" t="s">
        <v>113</v>
      </c>
      <c r="E55" s="178"/>
      <c r="F55" s="178"/>
      <c r="G55" s="178"/>
    </row>
    <row r="56" spans="1:7" ht="15.75" customHeight="1" x14ac:dyDescent="0.3">
      <c r="A56" s="24" t="s">
        <v>114</v>
      </c>
      <c r="B56" s="25" t="s">
        <v>115</v>
      </c>
      <c r="C56" s="25" t="s">
        <v>116</v>
      </c>
      <c r="D56" s="185" t="s">
        <v>117</v>
      </c>
      <c r="E56" s="178"/>
      <c r="F56" s="178"/>
      <c r="G56" s="178"/>
    </row>
    <row r="57" spans="1:7" ht="15.75" customHeight="1" x14ac:dyDescent="0.3">
      <c r="A57" s="24" t="s">
        <v>118</v>
      </c>
      <c r="B57" s="25" t="s">
        <v>119</v>
      </c>
      <c r="C57" s="25" t="s">
        <v>120</v>
      </c>
      <c r="D57" s="185" t="s">
        <v>121</v>
      </c>
      <c r="E57" s="178"/>
      <c r="F57" s="178"/>
      <c r="G57" s="178"/>
    </row>
    <row r="58" spans="1:7" ht="15.75" customHeight="1" x14ac:dyDescent="0.3">
      <c r="D58" s="178"/>
      <c r="E58" s="178"/>
      <c r="F58" s="178"/>
      <c r="G58" s="178"/>
    </row>
    <row r="59" spans="1:7" ht="15.75" customHeight="1" x14ac:dyDescent="0.3">
      <c r="D59" s="178"/>
      <c r="E59" s="178"/>
      <c r="F59" s="178"/>
      <c r="G59" s="178"/>
    </row>
    <row r="60" spans="1:7" ht="15.75" customHeight="1" x14ac:dyDescent="0.3">
      <c r="A60" s="2" t="s">
        <v>122</v>
      </c>
      <c r="D60" s="178"/>
      <c r="E60" s="178"/>
      <c r="F60" s="178"/>
      <c r="G60" s="178"/>
    </row>
    <row r="61" spans="1:7" ht="15.75" customHeight="1" x14ac:dyDescent="0.3">
      <c r="A61" s="26" t="s">
        <v>123</v>
      </c>
      <c r="B61" s="27" t="s">
        <v>124</v>
      </c>
      <c r="D61" s="178"/>
      <c r="E61" s="178"/>
      <c r="F61" s="178"/>
      <c r="G61" s="178"/>
    </row>
    <row r="62" spans="1:7" ht="15.75" customHeight="1" x14ac:dyDescent="0.3">
      <c r="A62" s="26" t="s">
        <v>125</v>
      </c>
      <c r="B62" s="27" t="s">
        <v>126</v>
      </c>
      <c r="D62" s="178"/>
      <c r="E62" s="178"/>
      <c r="F62" s="178"/>
      <c r="G62" s="178"/>
    </row>
    <row r="63" spans="1:7" ht="15.75" customHeight="1" x14ac:dyDescent="0.3">
      <c r="A63" s="26" t="s">
        <v>127</v>
      </c>
      <c r="B63" s="27" t="s">
        <v>128</v>
      </c>
      <c r="D63" s="178"/>
      <c r="E63" s="178"/>
      <c r="F63" s="178"/>
      <c r="G63" s="178"/>
    </row>
    <row r="64" spans="1:7" ht="15.75" customHeight="1" x14ac:dyDescent="0.3">
      <c r="A64" s="26" t="s">
        <v>129</v>
      </c>
      <c r="B64" s="27" t="s">
        <v>130</v>
      </c>
      <c r="D64" s="178"/>
      <c r="E64" s="178"/>
      <c r="F64" s="178"/>
      <c r="G64" s="178"/>
    </row>
    <row r="65" spans="1:7" ht="15.75" customHeight="1" x14ac:dyDescent="0.3">
      <c r="A65" s="26" t="s">
        <v>131</v>
      </c>
      <c r="B65" s="27" t="s">
        <v>132</v>
      </c>
      <c r="D65" s="178"/>
      <c r="E65" s="178"/>
      <c r="F65" s="178"/>
      <c r="G65" s="178"/>
    </row>
    <row r="66" spans="1:7" ht="15.75" customHeight="1" x14ac:dyDescent="0.3">
      <c r="A66" s="26" t="s">
        <v>133</v>
      </c>
      <c r="B66" s="27" t="s">
        <v>134</v>
      </c>
      <c r="D66" s="178"/>
      <c r="E66" s="178"/>
      <c r="F66" s="178"/>
      <c r="G66" s="178"/>
    </row>
    <row r="67" spans="1:7" ht="105.75" customHeight="1" x14ac:dyDescent="0.3">
      <c r="A67" s="26" t="s">
        <v>135</v>
      </c>
      <c r="B67" s="27" t="s">
        <v>136</v>
      </c>
    </row>
    <row r="68" spans="1:7" ht="95.25" customHeight="1" x14ac:dyDescent="0.3">
      <c r="A68" s="26" t="s">
        <v>137</v>
      </c>
      <c r="B68" s="27" t="s">
        <v>138</v>
      </c>
    </row>
    <row r="69" spans="1:7" ht="21.75" customHeight="1" x14ac:dyDescent="0.3">
      <c r="A69" s="178"/>
      <c r="B69" s="178"/>
      <c r="C69" s="178"/>
      <c r="D69" s="178"/>
      <c r="E69" s="178"/>
      <c r="F69" s="178"/>
      <c r="G69" s="178"/>
    </row>
    <row r="70" spans="1:7" ht="31.5" customHeight="1" x14ac:dyDescent="0.3">
      <c r="A70" s="1" t="s">
        <v>139</v>
      </c>
      <c r="B70" s="178"/>
      <c r="C70" s="178"/>
      <c r="D70" s="178"/>
      <c r="E70" s="178"/>
      <c r="F70" s="178"/>
      <c r="G70" s="178"/>
    </row>
    <row r="71" spans="1:7" ht="15" customHeight="1" x14ac:dyDescent="0.3">
      <c r="B71" s="178"/>
      <c r="C71" s="178"/>
      <c r="D71" s="178"/>
      <c r="E71" s="178"/>
      <c r="F71" s="178"/>
      <c r="G71" s="178"/>
    </row>
    <row r="72" spans="1:7" ht="15" customHeight="1" x14ac:dyDescent="0.3">
      <c r="B72" s="178"/>
      <c r="C72" s="178"/>
      <c r="D72" s="178"/>
      <c r="E72" s="178"/>
      <c r="F72" s="178"/>
      <c r="G72" s="178"/>
    </row>
    <row r="73" spans="1:7" ht="15" customHeight="1" x14ac:dyDescent="0.3">
      <c r="B73" s="178"/>
      <c r="C73" s="178"/>
      <c r="D73" s="178"/>
      <c r="E73" s="178"/>
      <c r="F73" s="178"/>
      <c r="G73" s="178"/>
    </row>
    <row r="74" spans="1:7" ht="15" customHeight="1" x14ac:dyDescent="0.3">
      <c r="B74" s="178"/>
      <c r="C74" s="178"/>
      <c r="D74" s="178"/>
      <c r="E74" s="178"/>
      <c r="F74" s="178"/>
      <c r="G74" s="178"/>
    </row>
    <row r="75" spans="1:7" ht="15" customHeight="1" x14ac:dyDescent="0.3">
      <c r="B75" s="178"/>
      <c r="C75" s="178"/>
      <c r="D75" s="178"/>
      <c r="E75" s="178"/>
      <c r="F75" s="178"/>
      <c r="G75" s="178"/>
    </row>
    <row r="76" spans="1:7" ht="15" customHeight="1" x14ac:dyDescent="0.3">
      <c r="B76" s="178"/>
      <c r="C76" s="178"/>
      <c r="D76" s="178"/>
      <c r="E76" s="178"/>
      <c r="F76" s="178"/>
      <c r="G76" s="178"/>
    </row>
    <row r="77" spans="1:7" ht="15" customHeight="1" x14ac:dyDescent="0.3">
      <c r="B77" s="178"/>
      <c r="C77" s="178"/>
      <c r="D77" s="178"/>
      <c r="E77" s="178"/>
      <c r="F77" s="178"/>
      <c r="G77" s="178"/>
    </row>
    <row r="78" spans="1:7" ht="15" customHeight="1" x14ac:dyDescent="0.3"/>
    <row r="79" spans="1:7" ht="15" customHeight="1" x14ac:dyDescent="0.3">
      <c r="A79" s="178"/>
      <c r="B79" s="178"/>
      <c r="C79" s="178"/>
      <c r="D79" s="178"/>
      <c r="E79" s="178"/>
      <c r="F79" s="178"/>
      <c r="G79" s="178"/>
    </row>
  </sheetData>
  <mergeCells count="68">
    <mergeCell ref="A2:G2"/>
    <mergeCell ref="B70:G70"/>
    <mergeCell ref="B77:G77"/>
    <mergeCell ref="A5:G5"/>
    <mergeCell ref="D62:G62"/>
    <mergeCell ref="A3:G3"/>
    <mergeCell ref="D53:G53"/>
    <mergeCell ref="D66:G66"/>
    <mergeCell ref="B71:G71"/>
    <mergeCell ref="D7:G7"/>
    <mergeCell ref="E17:G17"/>
    <mergeCell ref="D63:G63"/>
    <mergeCell ref="D10:G10"/>
    <mergeCell ref="B74:G74"/>
    <mergeCell ref="A49:G49"/>
    <mergeCell ref="F35:G35"/>
    <mergeCell ref="A1:G1"/>
    <mergeCell ref="C43:G43"/>
    <mergeCell ref="D65:G65"/>
    <mergeCell ref="F38:G38"/>
    <mergeCell ref="A79:G79"/>
    <mergeCell ref="B76:G76"/>
    <mergeCell ref="D6:G6"/>
    <mergeCell ref="A69:G69"/>
    <mergeCell ref="D52:G52"/>
    <mergeCell ref="F31:G31"/>
    <mergeCell ref="E18:G18"/>
    <mergeCell ref="B75:G75"/>
    <mergeCell ref="E20:G20"/>
    <mergeCell ref="D11:G11"/>
    <mergeCell ref="D13:G13"/>
    <mergeCell ref="D27:G27"/>
    <mergeCell ref="D61:G61"/>
    <mergeCell ref="D64:G64"/>
    <mergeCell ref="A29:G29"/>
    <mergeCell ref="C45:G45"/>
    <mergeCell ref="D55:G55"/>
    <mergeCell ref="B73:G73"/>
    <mergeCell ref="D51:G51"/>
    <mergeCell ref="D54:G54"/>
    <mergeCell ref="F30:G30"/>
    <mergeCell ref="A40:G40"/>
    <mergeCell ref="D59:G59"/>
    <mergeCell ref="C47:G47"/>
    <mergeCell ref="D50:G50"/>
    <mergeCell ref="D60:G60"/>
    <mergeCell ref="F33:G33"/>
    <mergeCell ref="C41:G41"/>
    <mergeCell ref="C44:G44"/>
    <mergeCell ref="D56:G56"/>
    <mergeCell ref="D58:G58"/>
    <mergeCell ref="D57:G57"/>
    <mergeCell ref="B72:G72"/>
    <mergeCell ref="D8:G8"/>
    <mergeCell ref="A22:G22"/>
    <mergeCell ref="D25:G25"/>
    <mergeCell ref="F34:G34"/>
    <mergeCell ref="C42:G42"/>
    <mergeCell ref="D24:G24"/>
    <mergeCell ref="D23:G23"/>
    <mergeCell ref="D26:G26"/>
    <mergeCell ref="F36:G36"/>
    <mergeCell ref="A15:G15"/>
    <mergeCell ref="F32:G32"/>
    <mergeCell ref="D9:G9"/>
    <mergeCell ref="E19:G19"/>
    <mergeCell ref="D12:G12"/>
    <mergeCell ref="E16:G16"/>
  </mergeCells>
  <printOptions horizontalCentered="1"/>
  <pageMargins left="0.5" right="0.5" top="0.5" bottom="0.5" header="0.511811023622047" footer="0.511811023622047"/>
  <pageSetup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F3864"/>
  </sheetPr>
  <dimension ref="B1:D100"/>
  <sheetViews>
    <sheetView zoomScaleNormal="100" workbookViewId="0">
      <pane xSplit="1" ySplit="4" topLeftCell="B5" activePane="bottomRight" state="frozen"/>
      <selection pane="topRight" activeCell="B1" sqref="B1"/>
      <selection pane="bottomLeft" activeCell="A5" sqref="A5"/>
      <selection pane="bottomRight"/>
    </sheetView>
  </sheetViews>
  <sheetFormatPr defaultColWidth="8.6640625" defaultRowHeight="14.4" x14ac:dyDescent="0.3"/>
  <cols>
    <col min="1" max="1" width="3" customWidth="1"/>
    <col min="2" max="2" width="42" customWidth="1"/>
    <col min="3" max="3" width="32" customWidth="1"/>
    <col min="4" max="4" width="58" customWidth="1"/>
  </cols>
  <sheetData>
    <row r="1" spans="2:4" ht="17.25" customHeight="1" x14ac:dyDescent="0.3">
      <c r="B1" s="28" t="s">
        <v>140</v>
      </c>
    </row>
    <row r="2" spans="2:4" ht="15" customHeight="1" x14ac:dyDescent="0.3">
      <c r="B2" s="29" t="s">
        <v>141</v>
      </c>
    </row>
    <row r="4" spans="2:4" ht="15" customHeight="1" x14ac:dyDescent="0.3">
      <c r="B4" s="195" t="s">
        <v>142</v>
      </c>
      <c r="C4" s="196"/>
    </row>
    <row r="5" spans="2:4" ht="15" customHeight="1" x14ac:dyDescent="0.3">
      <c r="B5" s="30" t="s">
        <v>143</v>
      </c>
      <c r="C5" s="31" t="s">
        <v>144</v>
      </c>
      <c r="D5" s="32" t="s">
        <v>145</v>
      </c>
    </row>
    <row r="6" spans="2:4" ht="15" customHeight="1" x14ac:dyDescent="0.3">
      <c r="B6" s="30" t="s">
        <v>146</v>
      </c>
      <c r="C6" s="31" t="s">
        <v>147</v>
      </c>
      <c r="D6" s="32" t="s">
        <v>148</v>
      </c>
    </row>
    <row r="7" spans="2:4" ht="15" customHeight="1" x14ac:dyDescent="0.3">
      <c r="B7" s="30" t="s">
        <v>149</v>
      </c>
      <c r="C7" s="31" t="s">
        <v>150</v>
      </c>
      <c r="D7" s="32" t="s">
        <v>151</v>
      </c>
    </row>
    <row r="8" spans="2:4" ht="15" customHeight="1" x14ac:dyDescent="0.3">
      <c r="B8" s="30" t="s">
        <v>152</v>
      </c>
      <c r="C8" s="31" t="s">
        <v>153</v>
      </c>
      <c r="D8" s="32" t="s">
        <v>154</v>
      </c>
    </row>
    <row r="9" spans="2:4" ht="15" customHeight="1" x14ac:dyDescent="0.3">
      <c r="B9" s="30" t="s">
        <v>155</v>
      </c>
      <c r="C9" s="31" t="s">
        <v>156</v>
      </c>
      <c r="D9" s="32" t="s">
        <v>154</v>
      </c>
    </row>
    <row r="10" spans="2:4" ht="15" customHeight="1" x14ac:dyDescent="0.3">
      <c r="B10" s="30" t="s">
        <v>157</v>
      </c>
      <c r="C10" s="31" t="s">
        <v>158</v>
      </c>
      <c r="D10" s="32" t="s">
        <v>159</v>
      </c>
    </row>
    <row r="11" spans="2:4" ht="15" customHeight="1" x14ac:dyDescent="0.3">
      <c r="B11" s="30" t="s">
        <v>160</v>
      </c>
      <c r="C11" s="31" t="s">
        <v>161</v>
      </c>
      <c r="D11" s="32" t="s">
        <v>154</v>
      </c>
    </row>
    <row r="12" spans="2:4" ht="15" customHeight="1" x14ac:dyDescent="0.3">
      <c r="B12" s="30" t="s">
        <v>162</v>
      </c>
      <c r="C12" s="31" t="s">
        <v>163</v>
      </c>
      <c r="D12" s="32" t="s">
        <v>164</v>
      </c>
    </row>
    <row r="13" spans="2:4" ht="15" customHeight="1" x14ac:dyDescent="0.3">
      <c r="B13" s="30" t="s">
        <v>165</v>
      </c>
      <c r="C13" s="31" t="s">
        <v>166</v>
      </c>
      <c r="D13" s="32" t="s">
        <v>167</v>
      </c>
    </row>
    <row r="14" spans="2:4" ht="15" customHeight="1" x14ac:dyDescent="0.3">
      <c r="B14" s="30" t="s">
        <v>168</v>
      </c>
      <c r="C14" s="31" t="s">
        <v>169</v>
      </c>
      <c r="D14" s="32" t="s">
        <v>170</v>
      </c>
    </row>
    <row r="15" spans="2:4" ht="15" customHeight="1" x14ac:dyDescent="0.3">
      <c r="B15" s="30" t="s">
        <v>171</v>
      </c>
      <c r="C15" s="31" t="s">
        <v>172</v>
      </c>
      <c r="D15" s="32" t="s">
        <v>170</v>
      </c>
    </row>
    <row r="17" spans="2:4" ht="15" customHeight="1" x14ac:dyDescent="0.3">
      <c r="B17" s="195" t="s">
        <v>173</v>
      </c>
      <c r="C17" s="196"/>
    </row>
    <row r="18" spans="2:4" ht="15" customHeight="1" x14ac:dyDescent="0.3">
      <c r="B18" s="30" t="s">
        <v>174</v>
      </c>
      <c r="C18" s="31" t="s">
        <v>175</v>
      </c>
      <c r="D18" s="32" t="s">
        <v>154</v>
      </c>
    </row>
    <row r="19" spans="2:4" ht="15" customHeight="1" x14ac:dyDescent="0.3">
      <c r="B19" s="30" t="s">
        <v>176</v>
      </c>
      <c r="C19" s="31" t="s">
        <v>177</v>
      </c>
      <c r="D19" s="32" t="s">
        <v>154</v>
      </c>
    </row>
    <row r="20" spans="2:4" ht="15" customHeight="1" x14ac:dyDescent="0.3">
      <c r="B20" s="30" t="s">
        <v>178</v>
      </c>
      <c r="C20" s="31" t="s">
        <v>179</v>
      </c>
      <c r="D20" s="32" t="s">
        <v>154</v>
      </c>
    </row>
    <row r="21" spans="2:4" ht="15" customHeight="1" x14ac:dyDescent="0.3">
      <c r="B21" s="30" t="s">
        <v>180</v>
      </c>
      <c r="C21" s="31" t="s">
        <v>181</v>
      </c>
      <c r="D21" s="32" t="s">
        <v>154</v>
      </c>
    </row>
    <row r="22" spans="2:4" ht="15" customHeight="1" x14ac:dyDescent="0.3">
      <c r="B22" s="30" t="s">
        <v>182</v>
      </c>
      <c r="C22" s="31" t="s">
        <v>183</v>
      </c>
      <c r="D22" s="32" t="s">
        <v>154</v>
      </c>
    </row>
    <row r="23" spans="2:4" ht="15" customHeight="1" x14ac:dyDescent="0.3">
      <c r="B23" s="30" t="s">
        <v>184</v>
      </c>
      <c r="C23" s="31" t="s">
        <v>185</v>
      </c>
      <c r="D23" s="32" t="s">
        <v>154</v>
      </c>
    </row>
    <row r="24" spans="2:4" ht="15" customHeight="1" x14ac:dyDescent="0.3">
      <c r="B24" s="30" t="s">
        <v>186</v>
      </c>
      <c r="C24" s="31" t="s">
        <v>187</v>
      </c>
      <c r="D24" s="32" t="s">
        <v>154</v>
      </c>
    </row>
    <row r="26" spans="2:4" ht="15" customHeight="1" x14ac:dyDescent="0.3">
      <c r="B26" s="30" t="s">
        <v>188</v>
      </c>
      <c r="C26" s="31" t="s">
        <v>189</v>
      </c>
      <c r="D26" s="32" t="s">
        <v>190</v>
      </c>
    </row>
    <row r="27" spans="2:4" ht="15" customHeight="1" x14ac:dyDescent="0.3">
      <c r="B27" s="30" t="s">
        <v>191</v>
      </c>
      <c r="C27" s="31" t="s">
        <v>192</v>
      </c>
      <c r="D27" s="32" t="s">
        <v>193</v>
      </c>
    </row>
    <row r="28" spans="2:4" ht="15" customHeight="1" x14ac:dyDescent="0.3">
      <c r="B28" s="30" t="s">
        <v>194</v>
      </c>
      <c r="C28" s="31" t="s">
        <v>195</v>
      </c>
      <c r="D28" s="32" t="s">
        <v>196</v>
      </c>
    </row>
    <row r="29" spans="2:4" ht="15" customHeight="1" x14ac:dyDescent="0.3">
      <c r="B29" s="30" t="s">
        <v>197</v>
      </c>
      <c r="C29" s="31" t="s">
        <v>198</v>
      </c>
      <c r="D29" s="32" t="s">
        <v>196</v>
      </c>
    </row>
    <row r="30" spans="2:4" ht="15" customHeight="1" x14ac:dyDescent="0.3">
      <c r="B30" s="30" t="s">
        <v>199</v>
      </c>
      <c r="C30" s="31" t="s">
        <v>187</v>
      </c>
      <c r="D30" s="32" t="s">
        <v>196</v>
      </c>
    </row>
    <row r="32" spans="2:4" ht="15" customHeight="1" x14ac:dyDescent="0.3">
      <c r="B32" s="195" t="s">
        <v>200</v>
      </c>
      <c r="C32" s="196"/>
    </row>
    <row r="33" spans="2:4" ht="15" customHeight="1" x14ac:dyDescent="0.3">
      <c r="B33" s="30" t="s">
        <v>201</v>
      </c>
      <c r="C33" s="31" t="s">
        <v>202</v>
      </c>
      <c r="D33" s="32" t="s">
        <v>203</v>
      </c>
    </row>
    <row r="34" spans="2:4" ht="15" customHeight="1" x14ac:dyDescent="0.3">
      <c r="B34" s="30" t="s">
        <v>201</v>
      </c>
      <c r="C34" s="31" t="s">
        <v>204</v>
      </c>
      <c r="D34" s="32" t="s">
        <v>205</v>
      </c>
    </row>
    <row r="35" spans="2:4" ht="15" customHeight="1" x14ac:dyDescent="0.3">
      <c r="B35" s="30" t="s">
        <v>206</v>
      </c>
      <c r="C35" s="31" t="s">
        <v>207</v>
      </c>
      <c r="D35" s="32" t="s">
        <v>208</v>
      </c>
    </row>
    <row r="36" spans="2:4" ht="15" customHeight="1" x14ac:dyDescent="0.3">
      <c r="B36" s="30" t="s">
        <v>209</v>
      </c>
      <c r="C36" s="31" t="s">
        <v>210</v>
      </c>
      <c r="D36" s="32" t="s">
        <v>211</v>
      </c>
    </row>
    <row r="37" spans="2:4" ht="15" customHeight="1" x14ac:dyDescent="0.3">
      <c r="B37" s="30" t="s">
        <v>212</v>
      </c>
      <c r="C37" s="31" t="s">
        <v>210</v>
      </c>
      <c r="D37" s="32" t="s">
        <v>213</v>
      </c>
    </row>
    <row r="38" spans="2:4" ht="15" customHeight="1" x14ac:dyDescent="0.3">
      <c r="B38" s="30" t="s">
        <v>214</v>
      </c>
      <c r="C38" s="31" t="s">
        <v>215</v>
      </c>
      <c r="D38" s="32" t="s">
        <v>216</v>
      </c>
    </row>
    <row r="39" spans="2:4" ht="15" customHeight="1" x14ac:dyDescent="0.3">
      <c r="B39" s="30" t="s">
        <v>217</v>
      </c>
      <c r="C39" s="31" t="s">
        <v>215</v>
      </c>
      <c r="D39" s="32" t="s">
        <v>218</v>
      </c>
    </row>
    <row r="40" spans="2:4" ht="15" customHeight="1" x14ac:dyDescent="0.3">
      <c r="B40" s="30" t="s">
        <v>219</v>
      </c>
      <c r="C40" s="31" t="s">
        <v>220</v>
      </c>
      <c r="D40" s="32" t="s">
        <v>221</v>
      </c>
    </row>
    <row r="41" spans="2:4" ht="15" customHeight="1" x14ac:dyDescent="0.3">
      <c r="B41" s="30" t="s">
        <v>222</v>
      </c>
      <c r="C41" s="31" t="s">
        <v>223</v>
      </c>
      <c r="D41" s="32" t="s">
        <v>224</v>
      </c>
    </row>
    <row r="43" spans="2:4" ht="15" customHeight="1" x14ac:dyDescent="0.3">
      <c r="B43" s="195" t="s">
        <v>225</v>
      </c>
      <c r="C43" s="196"/>
    </row>
    <row r="44" spans="2:4" ht="15" customHeight="1" x14ac:dyDescent="0.3">
      <c r="B44" s="30" t="s">
        <v>226</v>
      </c>
      <c r="C44" s="31" t="s">
        <v>67</v>
      </c>
      <c r="D44" s="32" t="s">
        <v>227</v>
      </c>
    </row>
    <row r="45" spans="2:4" ht="15" customHeight="1" x14ac:dyDescent="0.3">
      <c r="B45" s="30" t="s">
        <v>228</v>
      </c>
      <c r="C45" s="31" t="s">
        <v>67</v>
      </c>
      <c r="D45" s="32" t="s">
        <v>154</v>
      </c>
    </row>
    <row r="46" spans="2:4" ht="15" customHeight="1" x14ac:dyDescent="0.3">
      <c r="B46" s="30" t="s">
        <v>229</v>
      </c>
      <c r="C46" s="31" t="s">
        <v>230</v>
      </c>
      <c r="D46" s="32" t="s">
        <v>231</v>
      </c>
    </row>
    <row r="47" spans="2:4" ht="15" customHeight="1" x14ac:dyDescent="0.3">
      <c r="B47" s="30" t="s">
        <v>232</v>
      </c>
      <c r="C47" s="31" t="s">
        <v>233</v>
      </c>
      <c r="D47" s="32" t="s">
        <v>234</v>
      </c>
    </row>
    <row r="48" spans="2:4" ht="15" customHeight="1" x14ac:dyDescent="0.3">
      <c r="B48" s="30" t="s">
        <v>235</v>
      </c>
      <c r="C48" s="31" t="s">
        <v>236</v>
      </c>
      <c r="D48" s="32" t="s">
        <v>237</v>
      </c>
    </row>
    <row r="49" spans="2:4" ht="15" customHeight="1" x14ac:dyDescent="0.3">
      <c r="B49" s="30" t="s">
        <v>238</v>
      </c>
      <c r="C49" s="31" t="s">
        <v>239</v>
      </c>
      <c r="D49" s="32" t="s">
        <v>240</v>
      </c>
    </row>
    <row r="51" spans="2:4" ht="15" customHeight="1" x14ac:dyDescent="0.3">
      <c r="B51" s="30" t="s">
        <v>241</v>
      </c>
      <c r="C51" s="31" t="s">
        <v>242</v>
      </c>
      <c r="D51" s="32" t="s">
        <v>243</v>
      </c>
    </row>
    <row r="52" spans="2:4" ht="15" customHeight="1" x14ac:dyDescent="0.3">
      <c r="B52" s="30" t="s">
        <v>244</v>
      </c>
      <c r="C52" s="31" t="s">
        <v>245</v>
      </c>
      <c r="D52" s="32" t="s">
        <v>246</v>
      </c>
    </row>
    <row r="54" spans="2:4" ht="15" customHeight="1" x14ac:dyDescent="0.3">
      <c r="B54" s="30" t="s">
        <v>247</v>
      </c>
      <c r="C54" s="31" t="s">
        <v>248</v>
      </c>
      <c r="D54" s="32" t="s">
        <v>249</v>
      </c>
    </row>
    <row r="55" spans="2:4" ht="15" customHeight="1" x14ac:dyDescent="0.3">
      <c r="B55" s="30" t="s">
        <v>250</v>
      </c>
      <c r="C55" s="31" t="s">
        <v>251</v>
      </c>
      <c r="D55" s="32" t="s">
        <v>249</v>
      </c>
    </row>
    <row r="56" spans="2:4" ht="15" customHeight="1" x14ac:dyDescent="0.3">
      <c r="B56" s="30" t="s">
        <v>252</v>
      </c>
      <c r="C56" s="31" t="s">
        <v>253</v>
      </c>
      <c r="D56" s="32" t="s">
        <v>249</v>
      </c>
    </row>
    <row r="57" spans="2:4" ht="15" customHeight="1" x14ac:dyDescent="0.3">
      <c r="B57" s="30" t="s">
        <v>254</v>
      </c>
      <c r="C57" s="31" t="s">
        <v>255</v>
      </c>
      <c r="D57" s="32" t="s">
        <v>249</v>
      </c>
    </row>
    <row r="58" spans="2:4" ht="15" customHeight="1" x14ac:dyDescent="0.3">
      <c r="B58" s="30" t="s">
        <v>256</v>
      </c>
      <c r="C58" s="31" t="s">
        <v>257</v>
      </c>
      <c r="D58" s="32" t="s">
        <v>249</v>
      </c>
    </row>
    <row r="60" spans="2:4" ht="15" customHeight="1" x14ac:dyDescent="0.3">
      <c r="B60" s="30" t="s">
        <v>258</v>
      </c>
      <c r="C60" s="31" t="s">
        <v>259</v>
      </c>
      <c r="D60" s="32" t="s">
        <v>260</v>
      </c>
    </row>
    <row r="62" spans="2:4" ht="15" customHeight="1" x14ac:dyDescent="0.3">
      <c r="B62" s="195" t="s">
        <v>261</v>
      </c>
      <c r="C62" s="196"/>
    </row>
    <row r="63" spans="2:4" ht="15" customHeight="1" x14ac:dyDescent="0.3">
      <c r="B63" s="30" t="s">
        <v>262</v>
      </c>
      <c r="C63" s="31" t="s">
        <v>263</v>
      </c>
      <c r="D63" s="32" t="s">
        <v>264</v>
      </c>
    </row>
    <row r="64" spans="2:4" ht="15" customHeight="1" x14ac:dyDescent="0.3">
      <c r="B64" s="30" t="s">
        <v>265</v>
      </c>
      <c r="C64" s="31" t="s">
        <v>266</v>
      </c>
      <c r="D64" s="32" t="s">
        <v>264</v>
      </c>
    </row>
    <row r="65" spans="2:4" ht="15" customHeight="1" x14ac:dyDescent="0.3">
      <c r="B65" s="30" t="s">
        <v>267</v>
      </c>
      <c r="C65" s="31" t="s">
        <v>268</v>
      </c>
      <c r="D65" s="32" t="s">
        <v>269</v>
      </c>
    </row>
    <row r="66" spans="2:4" ht="15" customHeight="1" x14ac:dyDescent="0.3">
      <c r="B66" s="30" t="s">
        <v>270</v>
      </c>
      <c r="C66" s="31" t="s">
        <v>271</v>
      </c>
      <c r="D66" s="32" t="s">
        <v>272</v>
      </c>
    </row>
    <row r="67" spans="2:4" ht="15" customHeight="1" x14ac:dyDescent="0.3">
      <c r="B67" s="30" t="s">
        <v>273</v>
      </c>
      <c r="C67" s="31" t="s">
        <v>274</v>
      </c>
      <c r="D67" s="32" t="s">
        <v>275</v>
      </c>
    </row>
    <row r="69" spans="2:4" ht="15" customHeight="1" x14ac:dyDescent="0.3">
      <c r="B69" s="30" t="s">
        <v>276</v>
      </c>
      <c r="C69" s="31" t="s">
        <v>277</v>
      </c>
      <c r="D69" s="32" t="s">
        <v>278</v>
      </c>
    </row>
    <row r="70" spans="2:4" ht="15" customHeight="1" x14ac:dyDescent="0.3">
      <c r="B70" s="30" t="s">
        <v>279</v>
      </c>
      <c r="C70" s="31" t="s">
        <v>280</v>
      </c>
      <c r="D70" s="32" t="s">
        <v>227</v>
      </c>
    </row>
    <row r="71" spans="2:4" ht="15" customHeight="1" x14ac:dyDescent="0.3">
      <c r="B71" s="30" t="s">
        <v>281</v>
      </c>
      <c r="C71" s="31" t="s">
        <v>282</v>
      </c>
      <c r="D71" s="32" t="s">
        <v>283</v>
      </c>
    </row>
    <row r="72" spans="2:4" ht="15" customHeight="1" x14ac:dyDescent="0.3">
      <c r="B72" s="30" t="s">
        <v>284</v>
      </c>
      <c r="C72" s="31" t="s">
        <v>285</v>
      </c>
      <c r="D72" s="32" t="s">
        <v>286</v>
      </c>
    </row>
    <row r="73" spans="2:4" ht="15" customHeight="1" x14ac:dyDescent="0.3">
      <c r="B73" s="30" t="s">
        <v>287</v>
      </c>
      <c r="C73" s="31" t="s">
        <v>288</v>
      </c>
      <c r="D73" s="32" t="s">
        <v>289</v>
      </c>
    </row>
    <row r="75" spans="2:4" ht="15" customHeight="1" x14ac:dyDescent="0.3">
      <c r="B75" s="195" t="s">
        <v>290</v>
      </c>
      <c r="C75" s="196"/>
    </row>
    <row r="76" spans="2:4" ht="15" customHeight="1" x14ac:dyDescent="0.3">
      <c r="B76" s="30" t="s">
        <v>291</v>
      </c>
      <c r="C76" s="31" t="s">
        <v>292</v>
      </c>
      <c r="D76" s="32" t="s">
        <v>293</v>
      </c>
    </row>
    <row r="77" spans="2:4" ht="15" customHeight="1" x14ac:dyDescent="0.3">
      <c r="B77" s="30" t="s">
        <v>294</v>
      </c>
      <c r="C77" s="31" t="s">
        <v>295</v>
      </c>
      <c r="D77" s="32" t="s">
        <v>296</v>
      </c>
    </row>
    <row r="78" spans="2:4" ht="15" customHeight="1" x14ac:dyDescent="0.3">
      <c r="B78" s="30" t="s">
        <v>165</v>
      </c>
      <c r="C78" s="31" t="s">
        <v>297</v>
      </c>
      <c r="D78" s="32" t="s">
        <v>298</v>
      </c>
    </row>
    <row r="79" spans="2:4" ht="15" customHeight="1" x14ac:dyDescent="0.3">
      <c r="B79" s="30" t="s">
        <v>299</v>
      </c>
      <c r="C79" s="31" t="s">
        <v>300</v>
      </c>
      <c r="D79" s="32" t="s">
        <v>264</v>
      </c>
    </row>
    <row r="82" spans="2:4" ht="14.25" customHeight="1" x14ac:dyDescent="0.3">
      <c r="B82" s="33" t="s">
        <v>301</v>
      </c>
    </row>
    <row r="83" spans="2:4" ht="14.25" customHeight="1" x14ac:dyDescent="0.3">
      <c r="B83" s="34" t="s">
        <v>302</v>
      </c>
      <c r="C83" s="35" t="s">
        <v>303</v>
      </c>
      <c r="D83" s="36" t="s">
        <v>304</v>
      </c>
    </row>
    <row r="84" spans="2:4" ht="14.25" customHeight="1" x14ac:dyDescent="0.3">
      <c r="B84" s="34" t="s">
        <v>305</v>
      </c>
      <c r="C84" s="35" t="s">
        <v>306</v>
      </c>
      <c r="D84" s="36" t="s">
        <v>307</v>
      </c>
    </row>
    <row r="85" spans="2:4" ht="14.25" customHeight="1" x14ac:dyDescent="0.3">
      <c r="B85" s="34" t="s">
        <v>308</v>
      </c>
      <c r="C85" s="35" t="s">
        <v>309</v>
      </c>
      <c r="D85" s="36" t="s">
        <v>310</v>
      </c>
    </row>
    <row r="86" spans="2:4" ht="14.25" customHeight="1" x14ac:dyDescent="0.3">
      <c r="B86" s="34" t="s">
        <v>311</v>
      </c>
      <c r="C86" s="35" t="s">
        <v>312</v>
      </c>
      <c r="D86" s="36" t="s">
        <v>313</v>
      </c>
    </row>
    <row r="89" spans="2:4" ht="14.25" customHeight="1" x14ac:dyDescent="0.3">
      <c r="B89" s="33" t="s">
        <v>314</v>
      </c>
    </row>
    <row r="90" spans="2:4" ht="14.25" customHeight="1" x14ac:dyDescent="0.3">
      <c r="B90" s="34" t="s">
        <v>315</v>
      </c>
      <c r="C90" s="37" t="s">
        <v>316</v>
      </c>
      <c r="D90" s="36" t="s">
        <v>317</v>
      </c>
    </row>
    <row r="91" spans="2:4" ht="14.25" customHeight="1" x14ac:dyDescent="0.3">
      <c r="B91" s="34" t="s">
        <v>318</v>
      </c>
      <c r="C91" s="37" t="s">
        <v>319</v>
      </c>
      <c r="D91" s="36" t="s">
        <v>320</v>
      </c>
    </row>
    <row r="92" spans="2:4" ht="14.25" customHeight="1" x14ac:dyDescent="0.3">
      <c r="B92" s="34" t="s">
        <v>321</v>
      </c>
      <c r="C92" s="37" t="s">
        <v>322</v>
      </c>
    </row>
    <row r="93" spans="2:4" ht="14.25" customHeight="1" x14ac:dyDescent="0.3">
      <c r="B93" s="34" t="s">
        <v>323</v>
      </c>
      <c r="C93" s="37" t="s">
        <v>324</v>
      </c>
      <c r="D93" s="36" t="s">
        <v>325</v>
      </c>
    </row>
    <row r="94" spans="2:4" ht="14.25" customHeight="1" x14ac:dyDescent="0.3">
      <c r="B94" s="34" t="s">
        <v>326</v>
      </c>
      <c r="C94" s="37" t="s">
        <v>327</v>
      </c>
    </row>
    <row r="96" spans="2:4" ht="14.25" customHeight="1" x14ac:dyDescent="0.3">
      <c r="B96" s="33" t="s">
        <v>328</v>
      </c>
    </row>
    <row r="97" spans="2:4" ht="14.25" customHeight="1" x14ac:dyDescent="0.3">
      <c r="B97" s="34" t="s">
        <v>329</v>
      </c>
      <c r="C97" s="37" t="s">
        <v>330</v>
      </c>
      <c r="D97" s="36" t="s">
        <v>331</v>
      </c>
    </row>
    <row r="98" spans="2:4" ht="14.25" customHeight="1" x14ac:dyDescent="0.3">
      <c r="B98" s="34" t="s">
        <v>332</v>
      </c>
      <c r="C98" s="37" t="s">
        <v>333</v>
      </c>
    </row>
    <row r="99" spans="2:4" ht="14.25" customHeight="1" x14ac:dyDescent="0.3">
      <c r="B99" s="34" t="s">
        <v>334</v>
      </c>
      <c r="C99" s="37" t="s">
        <v>335</v>
      </c>
    </row>
    <row r="100" spans="2:4" ht="14.25" customHeight="1" x14ac:dyDescent="0.3">
      <c r="B100" s="36" t="s">
        <v>336</v>
      </c>
    </row>
  </sheetData>
  <mergeCells count="6">
    <mergeCell ref="B4:C4"/>
    <mergeCell ref="B75:C75"/>
    <mergeCell ref="B62:C62"/>
    <mergeCell ref="B43:C43"/>
    <mergeCell ref="B32:C32"/>
    <mergeCell ref="B17:C17"/>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4472C4"/>
  </sheetPr>
  <dimension ref="B1:D23"/>
  <sheetViews>
    <sheetView zoomScaleNormal="100" workbookViewId="0"/>
  </sheetViews>
  <sheetFormatPr defaultColWidth="8.6640625" defaultRowHeight="14.4" x14ac:dyDescent="0.3"/>
  <cols>
    <col min="1" max="1" width="3" customWidth="1"/>
    <col min="2" max="2" width="42" customWidth="1"/>
    <col min="3" max="3" width="20" customWidth="1"/>
    <col min="4" max="4" width="55" customWidth="1"/>
  </cols>
  <sheetData>
    <row r="1" spans="2:4" ht="17.25" customHeight="1" x14ac:dyDescent="0.3">
      <c r="B1" s="28" t="s">
        <v>337</v>
      </c>
    </row>
    <row r="2" spans="2:4" ht="15" customHeight="1" x14ac:dyDescent="0.3">
      <c r="B2" s="32" t="s">
        <v>338</v>
      </c>
    </row>
    <row r="3" spans="2:4" ht="15" customHeight="1" x14ac:dyDescent="0.3">
      <c r="B3" s="38" t="s">
        <v>339</v>
      </c>
    </row>
    <row r="5" spans="2:4" ht="15" customHeight="1" x14ac:dyDescent="0.3">
      <c r="B5" s="195" t="s">
        <v>340</v>
      </c>
      <c r="C5" s="196"/>
    </row>
    <row r="6" spans="2:4" ht="15" customHeight="1" x14ac:dyDescent="0.3">
      <c r="B6" s="39" t="s">
        <v>341</v>
      </c>
      <c r="C6" s="40">
        <v>1136109</v>
      </c>
      <c r="D6" s="41" t="s">
        <v>342</v>
      </c>
    </row>
    <row r="7" spans="2:4" ht="15" customHeight="1" x14ac:dyDescent="0.3">
      <c r="B7" s="30" t="s">
        <v>343</v>
      </c>
      <c r="C7" s="40">
        <v>-50239</v>
      </c>
      <c r="D7" s="41" t="s">
        <v>344</v>
      </c>
    </row>
    <row r="8" spans="2:4" ht="15" customHeight="1" x14ac:dyDescent="0.3">
      <c r="B8" s="30" t="s">
        <v>345</v>
      </c>
      <c r="C8" s="40">
        <v>0</v>
      </c>
      <c r="D8" s="41" t="s">
        <v>346</v>
      </c>
    </row>
    <row r="9" spans="2:4" ht="15" customHeight="1" x14ac:dyDescent="0.3">
      <c r="B9" s="30" t="s">
        <v>347</v>
      </c>
      <c r="C9" s="40">
        <v>2238</v>
      </c>
      <c r="D9" s="41" t="s">
        <v>348</v>
      </c>
    </row>
    <row r="10" spans="2:4" ht="15" customHeight="1" x14ac:dyDescent="0.3">
      <c r="B10" s="30" t="s">
        <v>349</v>
      </c>
      <c r="C10" s="40">
        <v>0</v>
      </c>
      <c r="D10" s="41" t="s">
        <v>350</v>
      </c>
    </row>
    <row r="12" spans="2:4" ht="15" customHeight="1" x14ac:dyDescent="0.3">
      <c r="B12" s="39" t="s">
        <v>351</v>
      </c>
      <c r="C12" s="42">
        <f>SUM(C6:C10)</f>
        <v>1088108</v>
      </c>
      <c r="D12" s="41" t="s">
        <v>352</v>
      </c>
    </row>
    <row r="13" spans="2:4" ht="15" customHeight="1" x14ac:dyDescent="0.3">
      <c r="B13" s="39" t="s">
        <v>353</v>
      </c>
      <c r="C13" s="40">
        <v>1086869</v>
      </c>
      <c r="D13" s="41" t="s">
        <v>354</v>
      </c>
    </row>
    <row r="15" spans="2:4" ht="15" customHeight="1" x14ac:dyDescent="0.3">
      <c r="B15" s="39" t="s">
        <v>355</v>
      </c>
      <c r="C15" s="43">
        <f>C12-C13</f>
        <v>1239</v>
      </c>
      <c r="D15" s="41" t="s">
        <v>356</v>
      </c>
    </row>
    <row r="18" spans="2:4" ht="15" customHeight="1" x14ac:dyDescent="0.3">
      <c r="B18" s="195" t="s">
        <v>357</v>
      </c>
      <c r="C18" s="196"/>
    </row>
    <row r="19" spans="2:4" ht="15" customHeight="1" x14ac:dyDescent="0.3">
      <c r="B19" s="197" t="s">
        <v>358</v>
      </c>
      <c r="C19" s="198"/>
      <c r="D19" s="196"/>
    </row>
    <row r="20" spans="2:4" ht="15" customHeight="1" x14ac:dyDescent="0.3">
      <c r="B20" s="197" t="s">
        <v>359</v>
      </c>
      <c r="C20" s="198"/>
      <c r="D20" s="196"/>
    </row>
    <row r="21" spans="2:4" ht="15" customHeight="1" x14ac:dyDescent="0.3">
      <c r="B21" s="197" t="s">
        <v>360</v>
      </c>
      <c r="C21" s="198"/>
      <c r="D21" s="196"/>
    </row>
    <row r="22" spans="2:4" ht="21.75" customHeight="1" x14ac:dyDescent="0.3">
      <c r="B22" s="197" t="s">
        <v>361</v>
      </c>
      <c r="C22" s="198"/>
      <c r="D22" s="196"/>
    </row>
    <row r="23" spans="2:4" ht="15" customHeight="1" x14ac:dyDescent="0.3">
      <c r="B23" s="199" t="s">
        <v>362</v>
      </c>
      <c r="C23" s="198"/>
      <c r="D23" s="196"/>
    </row>
  </sheetData>
  <mergeCells count="7">
    <mergeCell ref="B19:D19"/>
    <mergeCell ref="B23:D23"/>
    <mergeCell ref="B5:C5"/>
    <mergeCell ref="B22:D22"/>
    <mergeCell ref="B21:D21"/>
    <mergeCell ref="B18:C18"/>
    <mergeCell ref="B20:D20"/>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2E75B6"/>
  </sheetPr>
  <dimension ref="A1:I166"/>
  <sheetViews>
    <sheetView zoomScaleNormal="100" workbookViewId="0">
      <pane xSplit="2" ySplit="6" topLeftCell="C7" activePane="bottomRight" state="frozen"/>
      <selection pane="topRight" activeCell="C1" sqref="C1"/>
      <selection pane="bottomLeft" activeCell="A7" sqref="A7"/>
      <selection pane="bottomRight"/>
    </sheetView>
  </sheetViews>
  <sheetFormatPr defaultColWidth="8.6640625" defaultRowHeight="14.4" x14ac:dyDescent="0.3"/>
  <cols>
    <col min="1" max="1" width="3" customWidth="1"/>
    <col min="2" max="2" width="38" customWidth="1"/>
    <col min="3" max="9" width="14" customWidth="1"/>
    <col min="10" max="10" width="48" customWidth="1"/>
  </cols>
  <sheetData>
    <row r="1" spans="1:9" ht="17.25" customHeight="1" x14ac:dyDescent="0.3">
      <c r="B1" s="28" t="s">
        <v>363</v>
      </c>
    </row>
    <row r="2" spans="1:9" ht="15" customHeight="1" x14ac:dyDescent="0.3">
      <c r="B2" s="201" t="s">
        <v>364</v>
      </c>
      <c r="C2" s="198"/>
      <c r="D2" s="198"/>
      <c r="E2" s="198"/>
      <c r="F2" s="198"/>
      <c r="G2" s="198"/>
      <c r="H2" s="198"/>
      <c r="I2" s="196"/>
    </row>
    <row r="3" spans="1:9" ht="15" customHeight="1" x14ac:dyDescent="0.3">
      <c r="B3" s="201" t="s">
        <v>365</v>
      </c>
      <c r="C3" s="198"/>
      <c r="D3" s="198"/>
      <c r="E3" s="198"/>
      <c r="F3" s="198"/>
      <c r="G3" s="198"/>
      <c r="H3" s="198"/>
      <c r="I3" s="196"/>
    </row>
    <row r="5" spans="1:9" ht="15" customHeight="1" x14ac:dyDescent="0.3">
      <c r="B5" s="195" t="s">
        <v>366</v>
      </c>
      <c r="C5" s="198"/>
      <c r="D5" s="198"/>
      <c r="E5" s="198"/>
      <c r="F5" s="198"/>
      <c r="G5" s="198"/>
      <c r="H5" s="198"/>
      <c r="I5" s="196"/>
    </row>
    <row r="6" spans="1:9" ht="15" customHeight="1" x14ac:dyDescent="0.3">
      <c r="A6" s="44"/>
      <c r="B6" s="44"/>
      <c r="C6" s="44" t="s">
        <v>367</v>
      </c>
      <c r="D6" s="44" t="s">
        <v>368</v>
      </c>
      <c r="E6" s="44" t="s">
        <v>369</v>
      </c>
      <c r="F6" s="44" t="s">
        <v>370</v>
      </c>
      <c r="G6" s="44" t="s">
        <v>371</v>
      </c>
      <c r="H6" s="44" t="s">
        <v>372</v>
      </c>
      <c r="I6" s="44" t="s">
        <v>373</v>
      </c>
    </row>
    <row r="7" spans="1:9" ht="15" customHeight="1" x14ac:dyDescent="0.3">
      <c r="B7" s="30" t="s">
        <v>374</v>
      </c>
      <c r="C7" s="45" t="s">
        <v>375</v>
      </c>
      <c r="D7" s="45" t="s">
        <v>376</v>
      </c>
      <c r="E7" s="45" t="s">
        <v>377</v>
      </c>
      <c r="F7" s="45" t="s">
        <v>378</v>
      </c>
      <c r="G7" s="45" t="s">
        <v>379</v>
      </c>
      <c r="H7" s="45" t="s">
        <v>380</v>
      </c>
    </row>
    <row r="8" spans="1:9" ht="18.75" customHeight="1" x14ac:dyDescent="0.3">
      <c r="B8" s="39" t="s">
        <v>381</v>
      </c>
      <c r="C8" s="40">
        <v>138511</v>
      </c>
      <c r="D8" s="40">
        <v>153772</v>
      </c>
      <c r="E8" s="40">
        <v>171704</v>
      </c>
      <c r="F8" s="40">
        <v>169367</v>
      </c>
      <c r="G8" s="40">
        <v>188773</v>
      </c>
      <c r="H8" s="40">
        <v>193483</v>
      </c>
      <c r="I8" s="46" t="s">
        <v>382</v>
      </c>
    </row>
    <row r="9" spans="1:9" ht="15" customHeight="1" x14ac:dyDescent="0.3">
      <c r="B9" s="30" t="s">
        <v>383</v>
      </c>
      <c r="C9" s="40">
        <v>49900</v>
      </c>
      <c r="D9" s="40">
        <v>16924</v>
      </c>
      <c r="E9" s="40">
        <v>22539</v>
      </c>
      <c r="F9" s="40">
        <v>20751</v>
      </c>
      <c r="G9" s="40">
        <v>27518</v>
      </c>
      <c r="H9" s="40">
        <v>27313</v>
      </c>
      <c r="I9" s="41" t="s">
        <v>384</v>
      </c>
    </row>
    <row r="10" spans="1:9" ht="15" customHeight="1" x14ac:dyDescent="0.3">
      <c r="B10" s="39" t="s">
        <v>385</v>
      </c>
      <c r="C10" s="40">
        <v>88611</v>
      </c>
      <c r="D10" s="40">
        <v>136848</v>
      </c>
      <c r="E10" s="40">
        <v>149164</v>
      </c>
      <c r="F10" s="40">
        <v>148616</v>
      </c>
      <c r="G10" s="40">
        <v>161255</v>
      </c>
      <c r="H10" s="40">
        <v>166170</v>
      </c>
      <c r="I10" s="41" t="s">
        <v>384</v>
      </c>
    </row>
    <row r="12" spans="1:9" ht="15" customHeight="1" x14ac:dyDescent="0.3">
      <c r="B12" s="30" t="s">
        <v>386</v>
      </c>
      <c r="C12" s="47" t="s">
        <v>387</v>
      </c>
      <c r="D12" s="40">
        <v>40432</v>
      </c>
      <c r="E12" s="40">
        <v>39951</v>
      </c>
      <c r="F12" s="40">
        <v>35716</v>
      </c>
      <c r="G12" s="40">
        <v>40678</v>
      </c>
      <c r="H12" s="40">
        <v>44360</v>
      </c>
      <c r="I12" s="41" t="s">
        <v>384</v>
      </c>
    </row>
    <row r="13" spans="1:9" ht="15" customHeight="1" x14ac:dyDescent="0.3">
      <c r="B13" s="30" t="s">
        <v>388</v>
      </c>
      <c r="C13" s="40">
        <v>7301</v>
      </c>
      <c r="D13" s="40">
        <v>5467</v>
      </c>
      <c r="E13" s="40">
        <v>6406</v>
      </c>
      <c r="F13" s="40">
        <v>4647</v>
      </c>
      <c r="G13" s="40">
        <v>4095</v>
      </c>
      <c r="H13" s="40">
        <v>3176</v>
      </c>
      <c r="I13" s="41" t="s">
        <v>384</v>
      </c>
    </row>
    <row r="14" spans="1:9" ht="15" customHeight="1" x14ac:dyDescent="0.3">
      <c r="B14" s="30" t="s">
        <v>389</v>
      </c>
      <c r="C14" s="40">
        <v>153</v>
      </c>
      <c r="D14" s="40">
        <v>95</v>
      </c>
      <c r="E14" s="40">
        <v>1369</v>
      </c>
      <c r="F14" s="40">
        <v>1352</v>
      </c>
      <c r="G14" s="40">
        <v>587</v>
      </c>
      <c r="H14" s="40">
        <v>825</v>
      </c>
      <c r="I14" s="41" t="s">
        <v>384</v>
      </c>
    </row>
    <row r="15" spans="1:9" ht="15" customHeight="1" x14ac:dyDescent="0.3">
      <c r="B15" s="30" t="s">
        <v>390</v>
      </c>
      <c r="C15" s="47" t="s">
        <v>387</v>
      </c>
      <c r="D15" s="40">
        <v>2072</v>
      </c>
      <c r="E15" s="40">
        <v>2590</v>
      </c>
      <c r="F15" s="40">
        <v>2243</v>
      </c>
      <c r="G15" s="40">
        <v>3336</v>
      </c>
      <c r="H15" s="40">
        <v>3125</v>
      </c>
      <c r="I15" s="41" t="s">
        <v>384</v>
      </c>
    </row>
    <row r="16" spans="1:9" ht="15" customHeight="1" x14ac:dyDescent="0.3">
      <c r="B16" s="30" t="s">
        <v>391</v>
      </c>
      <c r="C16" s="40">
        <v>2129</v>
      </c>
      <c r="D16" s="40">
        <v>2129</v>
      </c>
      <c r="E16" s="40">
        <v>4185</v>
      </c>
      <c r="F16" s="40">
        <v>10482</v>
      </c>
      <c r="G16" s="40">
        <v>9009</v>
      </c>
      <c r="H16" s="40">
        <v>8136</v>
      </c>
      <c r="I16" s="41" t="s">
        <v>384</v>
      </c>
    </row>
    <row r="17" spans="2:9" ht="15" customHeight="1" x14ac:dyDescent="0.3">
      <c r="B17" s="30" t="s">
        <v>392</v>
      </c>
      <c r="C17" s="47" t="s">
        <v>387</v>
      </c>
      <c r="D17" s="40">
        <v>103754</v>
      </c>
      <c r="E17" s="40">
        <v>120819</v>
      </c>
      <c r="F17" s="40">
        <v>126677</v>
      </c>
      <c r="G17" s="40">
        <v>141335</v>
      </c>
      <c r="H17" s="40">
        <v>163270</v>
      </c>
      <c r="I17" s="41" t="s">
        <v>384</v>
      </c>
    </row>
    <row r="19" spans="2:9" ht="15" customHeight="1" x14ac:dyDescent="0.3">
      <c r="B19" s="39" t="s">
        <v>393</v>
      </c>
      <c r="C19" s="40">
        <v>58308</v>
      </c>
      <c r="D19" s="40">
        <v>50018</v>
      </c>
      <c r="E19" s="40">
        <v>50884</v>
      </c>
      <c r="F19" s="40">
        <v>42690</v>
      </c>
      <c r="G19" s="40">
        <v>47438</v>
      </c>
      <c r="H19" s="40">
        <v>30213</v>
      </c>
      <c r="I19" s="41" t="s">
        <v>384</v>
      </c>
    </row>
    <row r="21" spans="2:9" ht="15" customHeight="1" x14ac:dyDescent="0.3">
      <c r="B21" s="30" t="s">
        <v>394</v>
      </c>
      <c r="C21" s="47" t="s">
        <v>387</v>
      </c>
      <c r="D21" s="40">
        <v>353</v>
      </c>
      <c r="E21" s="40">
        <v>322</v>
      </c>
      <c r="F21" s="40">
        <v>291</v>
      </c>
      <c r="G21" s="40">
        <v>4761</v>
      </c>
      <c r="H21" s="40">
        <v>2451</v>
      </c>
      <c r="I21" s="41" t="s">
        <v>384</v>
      </c>
    </row>
    <row r="22" spans="2:9" ht="15" customHeight="1" x14ac:dyDescent="0.3">
      <c r="B22" s="30" t="s">
        <v>395</v>
      </c>
      <c r="C22" s="40">
        <v>540</v>
      </c>
      <c r="D22" s="40">
        <v>64</v>
      </c>
      <c r="E22" s="40">
        <v>21</v>
      </c>
      <c r="F22" s="40">
        <v>2994</v>
      </c>
      <c r="G22" s="40">
        <v>6143</v>
      </c>
      <c r="H22" s="40">
        <v>10535</v>
      </c>
      <c r="I22" s="41" t="s">
        <v>384</v>
      </c>
    </row>
    <row r="23" spans="2:9" ht="27.75" customHeight="1" x14ac:dyDescent="0.3">
      <c r="B23" s="30" t="s">
        <v>396</v>
      </c>
      <c r="C23" s="47" t="s">
        <v>387</v>
      </c>
      <c r="D23" s="40">
        <v>288</v>
      </c>
      <c r="E23" s="40">
        <v>301</v>
      </c>
      <c r="F23" s="40">
        <v>-2703</v>
      </c>
      <c r="G23" s="40">
        <v>-1383</v>
      </c>
      <c r="H23" s="40">
        <v>-8084</v>
      </c>
      <c r="I23" s="41" t="s">
        <v>397</v>
      </c>
    </row>
    <row r="25" spans="2:9" ht="15" customHeight="1" x14ac:dyDescent="0.3">
      <c r="B25" s="39" t="s">
        <v>398</v>
      </c>
      <c r="C25" s="40">
        <v>49730</v>
      </c>
      <c r="D25" s="40">
        <v>49730</v>
      </c>
      <c r="E25" s="40">
        <v>50583</v>
      </c>
      <c r="F25" s="40">
        <v>45393</v>
      </c>
      <c r="G25" s="40">
        <v>48820</v>
      </c>
      <c r="H25" s="40">
        <v>38297</v>
      </c>
      <c r="I25" s="41" t="s">
        <v>384</v>
      </c>
    </row>
    <row r="26" spans="2:9" ht="15" customHeight="1" x14ac:dyDescent="0.3">
      <c r="B26" s="30" t="s">
        <v>399</v>
      </c>
      <c r="C26" s="40">
        <v>5233</v>
      </c>
      <c r="D26" s="40">
        <v>5890</v>
      </c>
      <c r="E26" s="40">
        <v>2285</v>
      </c>
      <c r="F26" s="40">
        <v>-1522</v>
      </c>
      <c r="G26" s="40">
        <v>-102</v>
      </c>
      <c r="H26" s="40">
        <v>2735</v>
      </c>
      <c r="I26" s="41" t="s">
        <v>384</v>
      </c>
    </row>
    <row r="28" spans="2:9" ht="15" customHeight="1" x14ac:dyDescent="0.3">
      <c r="B28" s="39" t="s">
        <v>400</v>
      </c>
      <c r="C28" s="40">
        <v>43840</v>
      </c>
      <c r="D28" s="40">
        <v>43840</v>
      </c>
      <c r="E28" s="40">
        <v>48298</v>
      </c>
      <c r="F28" s="40">
        <v>46915</v>
      </c>
      <c r="G28" s="40">
        <v>48922</v>
      </c>
      <c r="H28" s="40">
        <v>35562</v>
      </c>
      <c r="I28" s="41" t="s">
        <v>384</v>
      </c>
    </row>
    <row r="30" spans="2:9" ht="15" customHeight="1" x14ac:dyDescent="0.3">
      <c r="B30" s="195" t="s">
        <v>401</v>
      </c>
      <c r="C30" s="198"/>
      <c r="D30" s="198"/>
      <c r="E30" s="198"/>
      <c r="F30" s="198"/>
      <c r="G30" s="198"/>
      <c r="H30" s="196"/>
    </row>
    <row r="31" spans="2:9" ht="15" customHeight="1" x14ac:dyDescent="0.3">
      <c r="B31" s="39" t="s">
        <v>402</v>
      </c>
      <c r="C31" s="47" t="s">
        <v>387</v>
      </c>
      <c r="D31" s="40">
        <v>52147</v>
      </c>
      <c r="E31" s="40">
        <v>55069</v>
      </c>
      <c r="F31" s="40">
        <v>53172</v>
      </c>
      <c r="G31" s="40">
        <v>56447</v>
      </c>
      <c r="H31" s="40">
        <v>38349</v>
      </c>
      <c r="I31" s="41" t="s">
        <v>384</v>
      </c>
    </row>
    <row r="32" spans="2:9" ht="15" customHeight="1" x14ac:dyDescent="0.3">
      <c r="B32" s="39" t="s">
        <v>403</v>
      </c>
      <c r="C32" s="47" t="s">
        <v>387</v>
      </c>
      <c r="D32" s="40">
        <v>50018</v>
      </c>
      <c r="E32" s="40">
        <v>50884</v>
      </c>
      <c r="F32" s="40">
        <v>42690</v>
      </c>
      <c r="G32" s="40">
        <v>47438</v>
      </c>
      <c r="H32" s="40">
        <v>30213</v>
      </c>
      <c r="I32" s="41" t="s">
        <v>384</v>
      </c>
    </row>
    <row r="33" spans="1:9" ht="15" customHeight="1" x14ac:dyDescent="0.3">
      <c r="B33" s="30" t="s">
        <v>404</v>
      </c>
      <c r="C33" s="40">
        <v>97492</v>
      </c>
      <c r="D33" s="40">
        <v>0</v>
      </c>
      <c r="E33" s="40">
        <v>16612</v>
      </c>
      <c r="F33" s="40">
        <v>0</v>
      </c>
      <c r="G33" s="40">
        <v>2953</v>
      </c>
      <c r="H33" s="40">
        <v>0</v>
      </c>
      <c r="I33" s="41" t="s">
        <v>384</v>
      </c>
    </row>
    <row r="35" spans="1:9" ht="15" customHeight="1" x14ac:dyDescent="0.3">
      <c r="B35" s="195" t="s">
        <v>405</v>
      </c>
      <c r="C35" s="198"/>
      <c r="D35" s="198"/>
      <c r="E35" s="198"/>
      <c r="F35" s="198"/>
      <c r="G35" s="198"/>
      <c r="H35" s="196"/>
    </row>
    <row r="36" spans="1:9" ht="15" customHeight="1" x14ac:dyDescent="0.3">
      <c r="B36" s="39" t="s">
        <v>406</v>
      </c>
      <c r="C36" s="47" t="s">
        <v>387</v>
      </c>
      <c r="D36" s="48">
        <v>0.88990000000000002</v>
      </c>
      <c r="E36" s="48">
        <v>0.86870000000000003</v>
      </c>
      <c r="F36" s="48">
        <v>0.87749999999999995</v>
      </c>
      <c r="G36" s="48">
        <v>0.85419999999999996</v>
      </c>
      <c r="H36" s="48">
        <v>0.85880000000000001</v>
      </c>
      <c r="I36" s="32" t="s">
        <v>407</v>
      </c>
    </row>
    <row r="37" spans="1:9" ht="15" customHeight="1" x14ac:dyDescent="0.3">
      <c r="B37" s="39" t="s">
        <v>408</v>
      </c>
      <c r="C37" s="47" t="s">
        <v>387</v>
      </c>
      <c r="D37" s="48">
        <v>0.33910000000000001</v>
      </c>
      <c r="E37" s="48">
        <v>0.32069999999999999</v>
      </c>
      <c r="F37" s="48">
        <v>0.31390000000000001</v>
      </c>
      <c r="G37" s="48">
        <v>0.29899999999999999</v>
      </c>
      <c r="H37" s="48">
        <v>0.19819999999999999</v>
      </c>
      <c r="I37" s="32" t="s">
        <v>407</v>
      </c>
    </row>
    <row r="38" spans="1:9" ht="15" customHeight="1" x14ac:dyDescent="0.3">
      <c r="B38" s="39" t="s">
        <v>409</v>
      </c>
      <c r="C38" s="47" t="s">
        <v>387</v>
      </c>
      <c r="D38" s="48">
        <v>0.32529999999999998</v>
      </c>
      <c r="E38" s="48">
        <v>0.29630000000000001</v>
      </c>
      <c r="F38" s="48">
        <v>0.25209999999999999</v>
      </c>
      <c r="G38" s="48">
        <v>0.25130000000000002</v>
      </c>
      <c r="H38" s="48">
        <v>0.15620000000000001</v>
      </c>
      <c r="I38" s="32" t="s">
        <v>407</v>
      </c>
    </row>
    <row r="39" spans="1:9" ht="15" customHeight="1" x14ac:dyDescent="0.3">
      <c r="B39" s="39" t="s">
        <v>410</v>
      </c>
      <c r="C39" s="47" t="s">
        <v>387</v>
      </c>
      <c r="D39" s="48">
        <v>0.28499999999999998</v>
      </c>
      <c r="E39" s="48">
        <v>0.28129999999999999</v>
      </c>
      <c r="F39" s="48">
        <v>0.27700000000000002</v>
      </c>
      <c r="G39" s="48">
        <v>0.25919999999999999</v>
      </c>
      <c r="H39" s="48">
        <v>0.18379999999999999</v>
      </c>
      <c r="I39" s="32" t="s">
        <v>407</v>
      </c>
    </row>
    <row r="41" spans="1:9" ht="15" customHeight="1" x14ac:dyDescent="0.3">
      <c r="B41" s="30" t="s">
        <v>411</v>
      </c>
      <c r="C41" s="47" t="s">
        <v>387</v>
      </c>
      <c r="D41" s="47" t="s">
        <v>387</v>
      </c>
      <c r="E41" s="48">
        <v>4.0899999999999999E-2</v>
      </c>
      <c r="F41" s="48">
        <v>0.10059999999999999</v>
      </c>
      <c r="G41" s="48">
        <v>0.1051</v>
      </c>
      <c r="H41" s="48">
        <v>-2.8999999999999998E-3</v>
      </c>
      <c r="I41" s="32" t="s">
        <v>407</v>
      </c>
    </row>
    <row r="42" spans="1:9" ht="15" customHeight="1" x14ac:dyDescent="0.3">
      <c r="B42" s="30" t="s">
        <v>412</v>
      </c>
      <c r="C42" s="47" t="s">
        <v>387</v>
      </c>
      <c r="D42" s="47" t="s">
        <v>387</v>
      </c>
      <c r="E42" s="48">
        <v>-1.5599999999999999E-2</v>
      </c>
      <c r="F42" s="48">
        <v>7.7299999999999994E-2</v>
      </c>
      <c r="G42" s="48">
        <v>5.2600000000000001E-2</v>
      </c>
      <c r="H42" s="48">
        <v>-0.33910000000000001</v>
      </c>
      <c r="I42" s="32" t="s">
        <v>407</v>
      </c>
    </row>
    <row r="44" spans="1:9" ht="15" customHeight="1" x14ac:dyDescent="0.3">
      <c r="B44" s="30" t="s">
        <v>413</v>
      </c>
      <c r="C44" s="47" t="s">
        <v>387</v>
      </c>
      <c r="D44" s="48">
        <v>0.11849999999999999</v>
      </c>
      <c r="E44" s="48">
        <v>4.5199999999999997E-2</v>
      </c>
      <c r="F44" s="48">
        <v>-3.3500000000000002E-2</v>
      </c>
      <c r="G44" s="48">
        <v>-2.0999999999999999E-3</v>
      </c>
      <c r="H44" s="48">
        <v>7.1400000000000005E-2</v>
      </c>
      <c r="I44" s="32" t="s">
        <v>414</v>
      </c>
    </row>
    <row r="47" spans="1:9" ht="15" customHeight="1" x14ac:dyDescent="0.3">
      <c r="B47" s="195" t="s">
        <v>415</v>
      </c>
      <c r="C47" s="198"/>
      <c r="D47" s="198"/>
      <c r="E47" s="198"/>
      <c r="F47" s="198"/>
      <c r="G47" s="198"/>
      <c r="H47" s="196"/>
    </row>
    <row r="48" spans="1:9" ht="15" customHeight="1" x14ac:dyDescent="0.3">
      <c r="A48" s="44"/>
      <c r="B48" s="44"/>
      <c r="C48" s="44" t="s">
        <v>367</v>
      </c>
      <c r="D48" s="44" t="s">
        <v>368</v>
      </c>
      <c r="E48" s="44" t="s">
        <v>369</v>
      </c>
      <c r="F48" s="44" t="s">
        <v>370</v>
      </c>
      <c r="G48" s="44" t="s">
        <v>371</v>
      </c>
      <c r="H48" s="44" t="s">
        <v>372</v>
      </c>
      <c r="I48" s="44" t="s">
        <v>373</v>
      </c>
    </row>
    <row r="49" spans="2:9" ht="15" customHeight="1" x14ac:dyDescent="0.3">
      <c r="B49" s="49" t="s">
        <v>416</v>
      </c>
    </row>
    <row r="50" spans="2:9" ht="15" customHeight="1" x14ac:dyDescent="0.3">
      <c r="B50" s="30" t="s">
        <v>417</v>
      </c>
      <c r="C50" s="40">
        <v>19507</v>
      </c>
      <c r="D50" s="40">
        <v>60445</v>
      </c>
      <c r="E50" s="40">
        <v>61599</v>
      </c>
      <c r="F50" s="40">
        <v>35465</v>
      </c>
      <c r="G50" s="40">
        <v>50239</v>
      </c>
      <c r="H50" s="40">
        <v>27250</v>
      </c>
      <c r="I50" s="41" t="s">
        <v>418</v>
      </c>
    </row>
    <row r="51" spans="2:9" ht="15" customHeight="1" x14ac:dyDescent="0.3">
      <c r="B51" s="30" t="s">
        <v>419</v>
      </c>
      <c r="C51" s="47" t="s">
        <v>387</v>
      </c>
      <c r="D51" s="47" t="s">
        <v>387</v>
      </c>
      <c r="E51" s="47" t="s">
        <v>387</v>
      </c>
      <c r="F51" s="47" t="s">
        <v>387</v>
      </c>
      <c r="G51" s="47" t="s">
        <v>387</v>
      </c>
      <c r="H51" s="47" t="s">
        <v>387</v>
      </c>
      <c r="I51" s="41"/>
    </row>
    <row r="52" spans="2:9" ht="15" customHeight="1" x14ac:dyDescent="0.3">
      <c r="B52" s="30" t="s">
        <v>420</v>
      </c>
      <c r="C52" s="40">
        <v>16497</v>
      </c>
      <c r="D52" s="40">
        <v>35150</v>
      </c>
      <c r="E52" s="40">
        <v>45470</v>
      </c>
      <c r="F52" s="40">
        <v>88423</v>
      </c>
      <c r="G52" s="47" t="s">
        <v>387</v>
      </c>
      <c r="H52" s="40">
        <v>147068</v>
      </c>
      <c r="I52" s="41" t="s">
        <v>418</v>
      </c>
    </row>
    <row r="53" spans="2:9" ht="15" customHeight="1" x14ac:dyDescent="0.3">
      <c r="B53" s="39" t="s">
        <v>421</v>
      </c>
      <c r="C53" s="40">
        <v>36492</v>
      </c>
      <c r="D53" s="40">
        <v>76942</v>
      </c>
      <c r="E53" s="40">
        <v>96748</v>
      </c>
      <c r="F53" s="40">
        <v>80935</v>
      </c>
      <c r="G53" s="40">
        <v>138662</v>
      </c>
      <c r="H53" s="40">
        <v>174318</v>
      </c>
      <c r="I53" s="41" t="s">
        <v>418</v>
      </c>
    </row>
    <row r="54" spans="2:9" ht="15" customHeight="1" x14ac:dyDescent="0.3">
      <c r="B54" s="30" t="s">
        <v>422</v>
      </c>
      <c r="C54" s="40">
        <v>8415</v>
      </c>
      <c r="D54" s="40">
        <v>8415</v>
      </c>
      <c r="E54" s="40">
        <v>8440</v>
      </c>
      <c r="F54" s="40">
        <v>6547</v>
      </c>
      <c r="G54" s="40">
        <v>4753</v>
      </c>
      <c r="H54" s="40">
        <v>2489</v>
      </c>
      <c r="I54" s="41" t="s">
        <v>418</v>
      </c>
    </row>
    <row r="55" spans="2:9" ht="15" customHeight="1" x14ac:dyDescent="0.3">
      <c r="B55" s="30" t="s">
        <v>423</v>
      </c>
      <c r="C55" s="40">
        <v>10601</v>
      </c>
      <c r="D55" s="40">
        <v>10601</v>
      </c>
      <c r="E55" s="40">
        <v>20135</v>
      </c>
      <c r="F55" s="40">
        <v>19937</v>
      </c>
      <c r="G55" s="40">
        <v>28603</v>
      </c>
      <c r="H55" s="40">
        <v>38274</v>
      </c>
      <c r="I55" s="41" t="s">
        <v>418</v>
      </c>
    </row>
    <row r="56" spans="2:9" ht="15" customHeight="1" x14ac:dyDescent="0.3">
      <c r="B56" s="30" t="s">
        <v>424</v>
      </c>
      <c r="C56" s="40">
        <v>8424</v>
      </c>
      <c r="D56" s="40">
        <v>21843</v>
      </c>
      <c r="E56" s="40">
        <v>36009</v>
      </c>
      <c r="F56" s="40">
        <v>97595</v>
      </c>
      <c r="G56" s="40">
        <v>97912</v>
      </c>
      <c r="H56" s="40">
        <v>82672</v>
      </c>
      <c r="I56" s="41" t="s">
        <v>418</v>
      </c>
    </row>
    <row r="57" spans="2:9" ht="15" customHeight="1" x14ac:dyDescent="0.3">
      <c r="B57" s="39" t="s">
        <v>425</v>
      </c>
      <c r="C57" s="47" t="s">
        <v>387</v>
      </c>
      <c r="D57" s="40">
        <v>98785</v>
      </c>
      <c r="E57" s="40">
        <v>132757</v>
      </c>
      <c r="F57" s="40">
        <v>178530</v>
      </c>
      <c r="G57" s="40">
        <v>236574</v>
      </c>
      <c r="H57" s="40">
        <v>256990</v>
      </c>
      <c r="I57" s="41" t="s">
        <v>418</v>
      </c>
    </row>
    <row r="59" spans="2:9" ht="15" customHeight="1" x14ac:dyDescent="0.3">
      <c r="B59" s="49" t="s">
        <v>426</v>
      </c>
    </row>
    <row r="60" spans="2:9" ht="15" customHeight="1" x14ac:dyDescent="0.3">
      <c r="B60" s="30" t="s">
        <v>427</v>
      </c>
      <c r="C60" s="40">
        <v>925</v>
      </c>
      <c r="D60" s="40">
        <v>1151</v>
      </c>
      <c r="E60" s="40">
        <v>27816</v>
      </c>
      <c r="F60" s="40">
        <v>24422</v>
      </c>
      <c r="G60" s="40">
        <v>27391</v>
      </c>
      <c r="H60" s="40">
        <v>28295</v>
      </c>
      <c r="I60" s="41" t="s">
        <v>418</v>
      </c>
    </row>
    <row r="61" spans="2:9" ht="15" customHeight="1" x14ac:dyDescent="0.3">
      <c r="B61" s="30" t="s">
        <v>428</v>
      </c>
      <c r="C61" s="47" t="s">
        <v>387</v>
      </c>
      <c r="D61" s="40">
        <v>1172</v>
      </c>
      <c r="E61" s="40">
        <v>3573</v>
      </c>
      <c r="F61" s="40">
        <v>13409</v>
      </c>
      <c r="G61" s="40">
        <v>2238</v>
      </c>
      <c r="H61" s="40">
        <v>958</v>
      </c>
      <c r="I61" s="41" t="s">
        <v>418</v>
      </c>
    </row>
    <row r="62" spans="2:9" ht="15" customHeight="1" x14ac:dyDescent="0.3">
      <c r="B62" s="30" t="s">
        <v>429</v>
      </c>
      <c r="C62" s="40">
        <v>31713</v>
      </c>
      <c r="D62" s="40">
        <v>44389</v>
      </c>
      <c r="E62" s="40">
        <v>12557</v>
      </c>
      <c r="F62" s="40">
        <v>15583</v>
      </c>
      <c r="G62" s="40">
        <v>23065</v>
      </c>
      <c r="H62" s="40">
        <v>15192</v>
      </c>
      <c r="I62" s="41" t="s">
        <v>418</v>
      </c>
    </row>
    <row r="63" spans="2:9" ht="15" customHeight="1" x14ac:dyDescent="0.3">
      <c r="B63" s="39" t="s">
        <v>430</v>
      </c>
      <c r="C63" s="40">
        <v>31713</v>
      </c>
      <c r="D63" s="40">
        <v>46712</v>
      </c>
      <c r="E63" s="40">
        <v>43946</v>
      </c>
      <c r="F63" s="40">
        <v>53414</v>
      </c>
      <c r="G63" s="40">
        <v>52693</v>
      </c>
      <c r="H63" s="40">
        <v>44445</v>
      </c>
      <c r="I63" s="41" t="s">
        <v>418</v>
      </c>
    </row>
    <row r="64" spans="2:9" ht="15" customHeight="1" x14ac:dyDescent="0.3">
      <c r="B64" s="30" t="s">
        <v>431</v>
      </c>
      <c r="C64" s="47" t="s">
        <v>387</v>
      </c>
      <c r="D64" s="40">
        <v>2261</v>
      </c>
      <c r="E64" s="40">
        <v>2671</v>
      </c>
      <c r="F64" s="40">
        <v>2169</v>
      </c>
      <c r="G64" s="40">
        <v>2427</v>
      </c>
      <c r="H64" s="40">
        <v>2696</v>
      </c>
      <c r="I64" s="41" t="s">
        <v>418</v>
      </c>
    </row>
    <row r="65" spans="2:9" ht="15" customHeight="1" x14ac:dyDescent="0.3">
      <c r="B65" s="30" t="s">
        <v>432</v>
      </c>
      <c r="C65" s="40">
        <v>7376</v>
      </c>
      <c r="D65" s="40">
        <v>18669</v>
      </c>
      <c r="E65" s="40">
        <v>22716</v>
      </c>
      <c r="F65" s="40">
        <v>19277</v>
      </c>
      <c r="G65" s="40">
        <v>16946</v>
      </c>
      <c r="H65" s="40">
        <v>8143</v>
      </c>
      <c r="I65" s="41" t="s">
        <v>418</v>
      </c>
    </row>
    <row r="66" spans="2:9" ht="15" customHeight="1" x14ac:dyDescent="0.3">
      <c r="B66" s="39" t="s">
        <v>433</v>
      </c>
      <c r="C66" s="47" t="s">
        <v>387</v>
      </c>
      <c r="D66" s="40">
        <v>65381</v>
      </c>
      <c r="E66" s="40">
        <v>66662</v>
      </c>
      <c r="F66" s="40">
        <v>72692</v>
      </c>
      <c r="G66" s="40">
        <v>69639</v>
      </c>
      <c r="H66" s="40">
        <v>52589</v>
      </c>
      <c r="I66" s="41" t="s">
        <v>418</v>
      </c>
    </row>
    <row r="68" spans="2:9" ht="15" customHeight="1" x14ac:dyDescent="0.3">
      <c r="B68" s="49" t="s">
        <v>434</v>
      </c>
    </row>
    <row r="69" spans="2:9" ht="15" customHeight="1" x14ac:dyDescent="0.3">
      <c r="B69" s="39" t="s">
        <v>435</v>
      </c>
      <c r="C69" s="47" t="s">
        <v>387</v>
      </c>
      <c r="D69" s="40">
        <v>33404</v>
      </c>
      <c r="E69" s="40">
        <v>66095</v>
      </c>
      <c r="F69" s="40">
        <v>105838</v>
      </c>
      <c r="G69" s="40">
        <v>166935</v>
      </c>
      <c r="H69" s="40">
        <v>204402</v>
      </c>
      <c r="I69" s="41" t="s">
        <v>418</v>
      </c>
    </row>
    <row r="71" spans="2:9" ht="15" customHeight="1" x14ac:dyDescent="0.3">
      <c r="B71" s="49" t="s">
        <v>436</v>
      </c>
    </row>
    <row r="72" spans="2:9" ht="27.75" customHeight="1" x14ac:dyDescent="0.3">
      <c r="B72" s="30" t="s">
        <v>437</v>
      </c>
      <c r="C72" s="40">
        <v>0</v>
      </c>
      <c r="D72" s="40">
        <v>0</v>
      </c>
      <c r="E72" s="40">
        <v>0</v>
      </c>
      <c r="F72" s="40">
        <v>0</v>
      </c>
      <c r="G72" s="40">
        <v>0</v>
      </c>
      <c r="H72" s="40">
        <v>0</v>
      </c>
      <c r="I72" s="41" t="s">
        <v>438</v>
      </c>
    </row>
    <row r="73" spans="2:9" ht="15" customHeight="1" x14ac:dyDescent="0.3">
      <c r="B73" s="30" t="s">
        <v>439</v>
      </c>
      <c r="C73" s="40">
        <v>0</v>
      </c>
      <c r="D73" s="40">
        <v>0</v>
      </c>
      <c r="E73" s="40">
        <v>0</v>
      </c>
      <c r="F73" s="40">
        <v>0</v>
      </c>
      <c r="G73" s="40">
        <v>0</v>
      </c>
      <c r="H73" s="40">
        <v>0</v>
      </c>
      <c r="I73" s="41" t="s">
        <v>418</v>
      </c>
    </row>
    <row r="74" spans="2:9" ht="15" customHeight="1" x14ac:dyDescent="0.3">
      <c r="B74" s="30" t="s">
        <v>440</v>
      </c>
      <c r="C74" s="40">
        <v>4779</v>
      </c>
      <c r="D74" s="40">
        <v>30230</v>
      </c>
      <c r="E74" s="40">
        <v>52802</v>
      </c>
      <c r="F74" s="40">
        <v>27520</v>
      </c>
      <c r="G74" s="40">
        <v>85969</v>
      </c>
      <c r="H74" s="40">
        <v>129873</v>
      </c>
      <c r="I74" s="41" t="s">
        <v>418</v>
      </c>
    </row>
    <row r="75" spans="2:9" ht="15" customHeight="1" x14ac:dyDescent="0.3">
      <c r="B75" s="30" t="s">
        <v>441</v>
      </c>
      <c r="C75" s="47" t="s">
        <v>387</v>
      </c>
      <c r="D75" s="40">
        <v>1172</v>
      </c>
      <c r="E75" s="40">
        <v>3573</v>
      </c>
      <c r="F75" s="40">
        <v>13409</v>
      </c>
      <c r="G75" s="40">
        <v>2238</v>
      </c>
      <c r="H75" s="40">
        <v>958</v>
      </c>
      <c r="I75" s="41" t="s">
        <v>418</v>
      </c>
    </row>
    <row r="78" spans="2:9" ht="15" customHeight="1" x14ac:dyDescent="0.3">
      <c r="B78" s="195" t="s">
        <v>442</v>
      </c>
      <c r="C78" s="198"/>
      <c r="D78" s="198"/>
      <c r="E78" s="198"/>
      <c r="F78" s="198"/>
      <c r="G78" s="198"/>
      <c r="H78" s="196"/>
    </row>
    <row r="79" spans="2:9" ht="15" customHeight="1" x14ac:dyDescent="0.3">
      <c r="B79" s="30" t="s">
        <v>443</v>
      </c>
      <c r="C79" s="50">
        <v>2.13</v>
      </c>
      <c r="D79" s="50">
        <v>1.1499999999999999</v>
      </c>
      <c r="E79" s="50">
        <v>1.65</v>
      </c>
      <c r="F79" s="50">
        <v>2.2000000000000002</v>
      </c>
      <c r="G79" s="50">
        <v>1.52</v>
      </c>
      <c r="H79" s="50">
        <v>2.63</v>
      </c>
      <c r="I79" s="32" t="s">
        <v>407</v>
      </c>
    </row>
    <row r="80" spans="2:9" ht="15" customHeight="1" x14ac:dyDescent="0.3">
      <c r="B80" s="30" t="s">
        <v>444</v>
      </c>
      <c r="C80" s="47" t="s">
        <v>387</v>
      </c>
      <c r="D80" s="47" t="s">
        <v>387</v>
      </c>
      <c r="E80" s="50">
        <v>0.35</v>
      </c>
      <c r="F80" s="50">
        <v>0.8</v>
      </c>
      <c r="G80" s="50">
        <v>0.85</v>
      </c>
      <c r="H80" s="50">
        <v>1.68</v>
      </c>
      <c r="I80" s="32" t="s">
        <v>407</v>
      </c>
    </row>
    <row r="81" spans="2:9" ht="15" customHeight="1" x14ac:dyDescent="0.3">
      <c r="B81" s="30" t="s">
        <v>445</v>
      </c>
      <c r="C81" s="50">
        <v>0</v>
      </c>
      <c r="D81" s="50">
        <v>0</v>
      </c>
      <c r="E81" s="50">
        <v>0</v>
      </c>
      <c r="F81" s="50">
        <v>0</v>
      </c>
      <c r="G81" s="50">
        <v>0</v>
      </c>
      <c r="H81" s="50">
        <v>0</v>
      </c>
      <c r="I81" s="32" t="s">
        <v>407</v>
      </c>
    </row>
    <row r="82" spans="2:9" ht="15" customHeight="1" x14ac:dyDescent="0.3">
      <c r="B82" s="30" t="s">
        <v>446</v>
      </c>
      <c r="C82" s="50">
        <v>0</v>
      </c>
      <c r="D82" s="50">
        <v>0</v>
      </c>
      <c r="E82" s="50">
        <v>0</v>
      </c>
      <c r="F82" s="50">
        <v>0</v>
      </c>
      <c r="G82" s="50">
        <v>0</v>
      </c>
      <c r="H82" s="50">
        <v>0</v>
      </c>
      <c r="I82" s="32" t="s">
        <v>407</v>
      </c>
    </row>
    <row r="83" spans="2:9" ht="15" customHeight="1" x14ac:dyDescent="0.3">
      <c r="B83" s="30" t="s">
        <v>447</v>
      </c>
      <c r="C83" s="47" t="s">
        <v>387</v>
      </c>
      <c r="D83" s="51">
        <v>141.85</v>
      </c>
      <c r="E83" s="51">
        <v>157.80000000000001</v>
      </c>
      <c r="F83" s="51">
        <v>146.77000000000001</v>
      </c>
      <c r="G83" s="51">
        <v>9.9600000000000009</v>
      </c>
      <c r="H83" s="51">
        <v>12.33</v>
      </c>
      <c r="I83" s="32" t="s">
        <v>407</v>
      </c>
    </row>
    <row r="84" spans="2:9" ht="15" customHeight="1" x14ac:dyDescent="0.3">
      <c r="B84" s="30" t="s">
        <v>448</v>
      </c>
      <c r="C84" s="47" t="s">
        <v>387</v>
      </c>
      <c r="D84" s="51">
        <v>147.88</v>
      </c>
      <c r="E84" s="51">
        <v>170.77</v>
      </c>
      <c r="F84" s="51">
        <v>182.81</v>
      </c>
      <c r="G84" s="51">
        <v>11.86</v>
      </c>
      <c r="H84" s="51">
        <v>15.65</v>
      </c>
      <c r="I84" s="32" t="s">
        <v>407</v>
      </c>
    </row>
    <row r="85" spans="2:9" ht="15" customHeight="1" x14ac:dyDescent="0.3">
      <c r="B85" s="30" t="s">
        <v>449</v>
      </c>
      <c r="C85" s="48">
        <v>0</v>
      </c>
      <c r="D85" s="48">
        <v>0</v>
      </c>
      <c r="E85" s="48">
        <v>0</v>
      </c>
      <c r="F85" s="48">
        <v>0</v>
      </c>
      <c r="G85" s="48">
        <v>0</v>
      </c>
      <c r="H85" s="48">
        <v>0</v>
      </c>
      <c r="I85" s="32" t="s">
        <v>407</v>
      </c>
    </row>
    <row r="86" spans="2:9" ht="15" customHeight="1" x14ac:dyDescent="0.3">
      <c r="B86" s="30" t="s">
        <v>450</v>
      </c>
      <c r="C86" s="47" t="s">
        <v>387</v>
      </c>
      <c r="D86" s="50">
        <v>2.96</v>
      </c>
      <c r="E86" s="50">
        <v>2.0099999999999998</v>
      </c>
      <c r="F86" s="50">
        <v>1.69</v>
      </c>
      <c r="G86" s="50">
        <v>1.42</v>
      </c>
      <c r="H86" s="50">
        <v>1.26</v>
      </c>
      <c r="I86" s="32" t="s">
        <v>407</v>
      </c>
    </row>
    <row r="87" spans="2:9" ht="15" customHeight="1" x14ac:dyDescent="0.3">
      <c r="B87" s="30" t="s">
        <v>451</v>
      </c>
      <c r="C87" s="47" t="s">
        <v>387</v>
      </c>
      <c r="D87" s="47" t="s">
        <v>387</v>
      </c>
      <c r="E87" s="47" t="s">
        <v>387</v>
      </c>
      <c r="F87" s="47" t="s">
        <v>387</v>
      </c>
      <c r="G87" s="47" t="s">
        <v>387</v>
      </c>
      <c r="H87" s="47" t="s">
        <v>387</v>
      </c>
      <c r="I87" s="32" t="s">
        <v>407</v>
      </c>
    </row>
    <row r="89" spans="2:9" ht="15" customHeight="1" x14ac:dyDescent="0.3">
      <c r="B89" s="30" t="s">
        <v>160</v>
      </c>
      <c r="C89" s="40">
        <v>337</v>
      </c>
      <c r="D89" s="47" t="s">
        <v>387</v>
      </c>
      <c r="E89" s="47" t="s">
        <v>387</v>
      </c>
      <c r="F89" s="47" t="s">
        <v>387</v>
      </c>
      <c r="G89" s="47" t="s">
        <v>387</v>
      </c>
      <c r="H89" s="47" t="s">
        <v>387</v>
      </c>
      <c r="I89" s="32" t="s">
        <v>407</v>
      </c>
    </row>
    <row r="92" spans="2:9" ht="15" customHeight="1" x14ac:dyDescent="0.3">
      <c r="B92" s="195" t="s">
        <v>452</v>
      </c>
      <c r="C92" s="198"/>
      <c r="D92" s="198"/>
      <c r="E92" s="198"/>
      <c r="F92" s="198"/>
      <c r="G92" s="198"/>
      <c r="H92" s="196"/>
    </row>
    <row r="93" spans="2:9" ht="15" customHeight="1" x14ac:dyDescent="0.3">
      <c r="B93" s="30" t="s">
        <v>453</v>
      </c>
      <c r="C93" s="52" t="s">
        <v>179</v>
      </c>
      <c r="I93" s="32" t="s">
        <v>454</v>
      </c>
    </row>
    <row r="94" spans="2:9" ht="15" customHeight="1" x14ac:dyDescent="0.3">
      <c r="B94" s="30" t="s">
        <v>455</v>
      </c>
      <c r="C94" s="40">
        <v>1136109</v>
      </c>
      <c r="I94" s="32" t="s">
        <v>454</v>
      </c>
    </row>
    <row r="95" spans="2:9" ht="15" customHeight="1" x14ac:dyDescent="0.3">
      <c r="B95" s="30" t="s">
        <v>456</v>
      </c>
      <c r="C95" s="40">
        <v>1136109</v>
      </c>
      <c r="I95" s="32" t="s">
        <v>454</v>
      </c>
    </row>
    <row r="96" spans="2:9" ht="15" customHeight="1" x14ac:dyDescent="0.3">
      <c r="B96" s="30" t="s">
        <v>457</v>
      </c>
      <c r="C96" s="40">
        <v>164146</v>
      </c>
      <c r="I96" s="32" t="s">
        <v>454</v>
      </c>
    </row>
    <row r="97" spans="2:9" ht="15" customHeight="1" x14ac:dyDescent="0.3">
      <c r="B97" s="30" t="s">
        <v>458</v>
      </c>
      <c r="C97" s="40">
        <v>188773</v>
      </c>
      <c r="I97" s="32" t="s">
        <v>454</v>
      </c>
    </row>
    <row r="98" spans="2:9" ht="15" customHeight="1" x14ac:dyDescent="0.3">
      <c r="B98" s="30" t="s">
        <v>459</v>
      </c>
      <c r="C98" s="40">
        <v>56447</v>
      </c>
      <c r="I98" s="32" t="s">
        <v>454</v>
      </c>
    </row>
    <row r="99" spans="2:9" ht="15" customHeight="1" x14ac:dyDescent="0.3">
      <c r="B99" s="30" t="s">
        <v>460</v>
      </c>
      <c r="C99" s="40">
        <v>47438</v>
      </c>
      <c r="I99" s="32" t="s">
        <v>454</v>
      </c>
    </row>
    <row r="100" spans="2:9" ht="15" customHeight="1" x14ac:dyDescent="0.3">
      <c r="B100" s="30" t="s">
        <v>461</v>
      </c>
      <c r="C100" s="40">
        <v>48922</v>
      </c>
      <c r="I100" s="32" t="s">
        <v>454</v>
      </c>
    </row>
    <row r="101" spans="2:9" ht="15" customHeight="1" x14ac:dyDescent="0.3">
      <c r="B101" s="30" t="s">
        <v>462</v>
      </c>
      <c r="C101" s="40">
        <v>1086869</v>
      </c>
      <c r="I101" s="32" t="s">
        <v>454</v>
      </c>
    </row>
    <row r="103" spans="2:9" ht="15" customHeight="1" x14ac:dyDescent="0.3">
      <c r="B103" s="30" t="s">
        <v>463</v>
      </c>
      <c r="C103" s="52" t="s">
        <v>248</v>
      </c>
      <c r="I103" s="32" t="s">
        <v>454</v>
      </c>
    </row>
    <row r="104" spans="2:9" ht="15" customHeight="1" x14ac:dyDescent="0.3">
      <c r="B104" s="30" t="s">
        <v>464</v>
      </c>
      <c r="C104" s="52" t="s">
        <v>251</v>
      </c>
      <c r="I104" s="32" t="s">
        <v>454</v>
      </c>
    </row>
    <row r="105" spans="2:9" ht="15" customHeight="1" x14ac:dyDescent="0.3">
      <c r="B105" s="30" t="s">
        <v>465</v>
      </c>
      <c r="C105" s="52" t="s">
        <v>253</v>
      </c>
      <c r="I105" s="32" t="s">
        <v>454</v>
      </c>
    </row>
    <row r="106" spans="2:9" ht="15" customHeight="1" x14ac:dyDescent="0.3">
      <c r="B106" s="30" t="s">
        <v>254</v>
      </c>
      <c r="C106" s="52" t="s">
        <v>255</v>
      </c>
      <c r="I106" s="32" t="s">
        <v>454</v>
      </c>
    </row>
    <row r="107" spans="2:9" ht="15" customHeight="1" x14ac:dyDescent="0.3">
      <c r="B107" s="30" t="s">
        <v>256</v>
      </c>
      <c r="C107" s="52" t="s">
        <v>257</v>
      </c>
      <c r="I107" s="32" t="s">
        <v>454</v>
      </c>
    </row>
    <row r="110" spans="2:9" ht="15" customHeight="1" x14ac:dyDescent="0.3">
      <c r="B110" s="195" t="s">
        <v>466</v>
      </c>
      <c r="C110" s="198"/>
      <c r="D110" s="198"/>
      <c r="E110" s="198"/>
      <c r="F110" s="198"/>
      <c r="G110" s="198"/>
      <c r="H110" s="198"/>
      <c r="I110" s="196"/>
    </row>
    <row r="111" spans="2:9" ht="15" customHeight="1" x14ac:dyDescent="0.3">
      <c r="B111" s="197" t="s">
        <v>467</v>
      </c>
      <c r="C111" s="198"/>
      <c r="D111" s="198"/>
      <c r="E111" s="198"/>
      <c r="F111" s="198"/>
      <c r="G111" s="198"/>
      <c r="H111" s="198"/>
      <c r="I111" s="196"/>
    </row>
    <row r="112" spans="2:9" ht="15" customHeight="1" x14ac:dyDescent="0.3">
      <c r="B112" s="197" t="s">
        <v>468</v>
      </c>
      <c r="C112" s="198"/>
      <c r="D112" s="198"/>
      <c r="E112" s="198"/>
      <c r="F112" s="198"/>
      <c r="G112" s="198"/>
      <c r="H112" s="198"/>
      <c r="I112" s="196"/>
    </row>
    <row r="113" spans="2:9" ht="15" customHeight="1" x14ac:dyDescent="0.3">
      <c r="B113" s="197" t="s">
        <v>469</v>
      </c>
      <c r="C113" s="198"/>
      <c r="D113" s="198"/>
      <c r="E113" s="198"/>
      <c r="F113" s="198"/>
      <c r="G113" s="198"/>
      <c r="H113" s="198"/>
      <c r="I113" s="196"/>
    </row>
    <row r="114" spans="2:9" ht="15" customHeight="1" x14ac:dyDescent="0.3">
      <c r="B114" s="197" t="s">
        <v>470</v>
      </c>
      <c r="C114" s="198"/>
      <c r="D114" s="198"/>
      <c r="E114" s="198"/>
      <c r="F114" s="198"/>
      <c r="G114" s="198"/>
      <c r="H114" s="198"/>
      <c r="I114" s="196"/>
    </row>
    <row r="115" spans="2:9" ht="15" customHeight="1" x14ac:dyDescent="0.3">
      <c r="B115" s="197" t="s">
        <v>471</v>
      </c>
      <c r="C115" s="198"/>
      <c r="D115" s="198"/>
      <c r="E115" s="198"/>
      <c r="F115" s="198"/>
      <c r="G115" s="198"/>
      <c r="H115" s="198"/>
      <c r="I115" s="196"/>
    </row>
    <row r="116" spans="2:9" ht="15" customHeight="1" x14ac:dyDescent="0.3">
      <c r="B116" s="197" t="s">
        <v>472</v>
      </c>
      <c r="C116" s="198"/>
      <c r="D116" s="198"/>
      <c r="E116" s="198"/>
      <c r="F116" s="198"/>
      <c r="G116" s="198"/>
      <c r="H116" s="198"/>
      <c r="I116" s="196"/>
    </row>
    <row r="117" spans="2:9" ht="15" customHeight="1" x14ac:dyDescent="0.3">
      <c r="B117" s="197" t="s">
        <v>473</v>
      </c>
      <c r="C117" s="198"/>
      <c r="D117" s="198"/>
      <c r="E117" s="198"/>
      <c r="F117" s="198"/>
      <c r="G117" s="198"/>
      <c r="H117" s="198"/>
      <c r="I117" s="196"/>
    </row>
    <row r="118" spans="2:9" ht="15" customHeight="1" x14ac:dyDescent="0.3">
      <c r="B118" s="197" t="s">
        <v>474</v>
      </c>
      <c r="C118" s="198"/>
      <c r="D118" s="198"/>
      <c r="E118" s="198"/>
      <c r="F118" s="198"/>
      <c r="G118" s="198"/>
      <c r="H118" s="198"/>
      <c r="I118" s="196"/>
    </row>
    <row r="119" spans="2:9" ht="48" customHeight="1" x14ac:dyDescent="0.3">
      <c r="B119" s="203" t="s">
        <v>475</v>
      </c>
      <c r="C119" s="198"/>
      <c r="D119" s="198"/>
      <c r="E119" s="198"/>
      <c r="F119" s="198"/>
      <c r="G119" s="198"/>
      <c r="H119" s="198"/>
      <c r="I119" s="196"/>
    </row>
    <row r="120" spans="2:9" ht="15" customHeight="1" x14ac:dyDescent="0.3">
      <c r="B120" s="197" t="s">
        <v>476</v>
      </c>
      <c r="C120" s="198"/>
      <c r="D120" s="198"/>
      <c r="E120" s="198"/>
      <c r="F120" s="198"/>
      <c r="G120" s="198"/>
      <c r="H120" s="198"/>
      <c r="I120" s="196"/>
    </row>
    <row r="122" spans="2:9" ht="15" customHeight="1" x14ac:dyDescent="0.3">
      <c r="B122" s="202" t="s">
        <v>477</v>
      </c>
      <c r="C122" s="198"/>
      <c r="D122" s="198"/>
      <c r="E122" s="198"/>
      <c r="F122" s="198"/>
      <c r="G122" s="198"/>
      <c r="H122" s="198"/>
      <c r="I122" s="196"/>
    </row>
    <row r="123" spans="2:9" ht="15" customHeight="1" x14ac:dyDescent="0.3">
      <c r="B123" s="200" t="s">
        <v>478</v>
      </c>
      <c r="C123" s="198"/>
      <c r="D123" s="198"/>
      <c r="E123" s="198"/>
      <c r="F123" s="198"/>
      <c r="G123" s="198"/>
      <c r="H123" s="198"/>
      <c r="I123" s="196"/>
    </row>
    <row r="124" spans="2:9" ht="15" customHeight="1" x14ac:dyDescent="0.3">
      <c r="B124" s="200" t="s">
        <v>479</v>
      </c>
      <c r="C124" s="198"/>
      <c r="D124" s="198"/>
      <c r="E124" s="198"/>
      <c r="F124" s="198"/>
      <c r="G124" s="198"/>
      <c r="H124" s="198"/>
      <c r="I124" s="196"/>
    </row>
    <row r="125" spans="2:9" ht="15" customHeight="1" x14ac:dyDescent="0.3">
      <c r="B125" s="200" t="s">
        <v>480</v>
      </c>
      <c r="C125" s="198"/>
      <c r="D125" s="198"/>
      <c r="E125" s="198"/>
      <c r="F125" s="198"/>
      <c r="G125" s="198"/>
      <c r="H125" s="198"/>
      <c r="I125" s="196"/>
    </row>
    <row r="126" spans="2:9" ht="15" customHeight="1" x14ac:dyDescent="0.3">
      <c r="B126" s="200" t="s">
        <v>481</v>
      </c>
      <c r="C126" s="198"/>
      <c r="D126" s="198"/>
      <c r="E126" s="198"/>
      <c r="F126" s="198"/>
      <c r="G126" s="198"/>
      <c r="H126" s="198"/>
      <c r="I126" s="196"/>
    </row>
    <row r="128" spans="2:9" ht="14.25" customHeight="1" x14ac:dyDescent="0.3">
      <c r="B128" s="34" t="s">
        <v>482</v>
      </c>
    </row>
    <row r="129" spans="2:4" ht="14.25" customHeight="1" x14ac:dyDescent="0.3">
      <c r="B129" s="36" t="s">
        <v>483</v>
      </c>
    </row>
    <row r="131" spans="2:4" ht="14.25" customHeight="1" x14ac:dyDescent="0.3">
      <c r="B131" s="53" t="s">
        <v>484</v>
      </c>
    </row>
    <row r="132" spans="2:4" ht="14.25" customHeight="1" x14ac:dyDescent="0.3">
      <c r="B132" s="36" t="s">
        <v>485</v>
      </c>
    </row>
    <row r="133" spans="2:4" ht="14.25" customHeight="1" x14ac:dyDescent="0.3">
      <c r="B133" s="36" t="s">
        <v>486</v>
      </c>
    </row>
    <row r="134" spans="2:4" ht="14.25" customHeight="1" x14ac:dyDescent="0.3">
      <c r="B134" s="36" t="s">
        <v>487</v>
      </c>
    </row>
    <row r="135" spans="2:4" ht="14.25" customHeight="1" x14ac:dyDescent="0.3">
      <c r="B135" s="36" t="s">
        <v>488</v>
      </c>
    </row>
    <row r="138" spans="2:4" ht="14.25" customHeight="1" x14ac:dyDescent="0.3">
      <c r="B138" s="33" t="s">
        <v>489</v>
      </c>
    </row>
    <row r="139" spans="2:4" ht="55.5" customHeight="1" x14ac:dyDescent="0.3">
      <c r="B139" s="54" t="s">
        <v>490</v>
      </c>
    </row>
    <row r="141" spans="2:4" ht="14.25" customHeight="1" x14ac:dyDescent="0.3">
      <c r="B141" s="53" t="s">
        <v>491</v>
      </c>
      <c r="C141" s="55" t="s">
        <v>492</v>
      </c>
      <c r="D141" s="53" t="s">
        <v>493</v>
      </c>
    </row>
    <row r="142" spans="2:4" ht="36" customHeight="1" x14ac:dyDescent="0.3">
      <c r="B142" s="34" t="s">
        <v>494</v>
      </c>
      <c r="C142" s="56">
        <v>56.4</v>
      </c>
      <c r="D142" s="54" t="s">
        <v>495</v>
      </c>
    </row>
    <row r="144" spans="2:4" ht="14.25" customHeight="1" x14ac:dyDescent="0.3">
      <c r="B144" s="53" t="s">
        <v>496</v>
      </c>
    </row>
    <row r="145" spans="2:5" ht="14.25" customHeight="1" x14ac:dyDescent="0.3">
      <c r="B145" s="57" t="s">
        <v>497</v>
      </c>
      <c r="C145" s="58">
        <v>4</v>
      </c>
      <c r="D145" s="36" t="s">
        <v>498</v>
      </c>
    </row>
    <row r="146" spans="2:5" ht="14.25" customHeight="1" x14ac:dyDescent="0.3">
      <c r="B146" s="57" t="s">
        <v>499</v>
      </c>
      <c r="C146" s="58">
        <v>3.5</v>
      </c>
      <c r="D146" s="36" t="s">
        <v>500</v>
      </c>
    </row>
    <row r="147" spans="2:5" ht="14.25" customHeight="1" x14ac:dyDescent="0.3">
      <c r="B147" s="57" t="s">
        <v>501</v>
      </c>
      <c r="C147" s="58">
        <v>3</v>
      </c>
      <c r="D147" s="36" t="s">
        <v>502</v>
      </c>
    </row>
    <row r="148" spans="2:5" ht="14.25" customHeight="1" x14ac:dyDescent="0.3">
      <c r="B148" s="57" t="s">
        <v>503</v>
      </c>
      <c r="C148" s="58">
        <v>2.5</v>
      </c>
      <c r="D148" s="36" t="s">
        <v>504</v>
      </c>
    </row>
    <row r="149" spans="2:5" ht="14.25" customHeight="1" x14ac:dyDescent="0.3">
      <c r="B149" s="57" t="s">
        <v>505</v>
      </c>
      <c r="C149" s="58">
        <v>1.5</v>
      </c>
      <c r="D149" s="36" t="s">
        <v>506</v>
      </c>
    </row>
    <row r="150" spans="2:5" ht="14.25" customHeight="1" x14ac:dyDescent="0.3">
      <c r="B150" s="57" t="s">
        <v>507</v>
      </c>
      <c r="C150" s="58">
        <v>4.0999999999999996</v>
      </c>
      <c r="D150" s="36" t="s">
        <v>508</v>
      </c>
    </row>
    <row r="152" spans="2:5" ht="14.25" customHeight="1" x14ac:dyDescent="0.3">
      <c r="B152" s="59" t="s">
        <v>509</v>
      </c>
      <c r="C152" s="60">
        <f>SUM(C145:C150)</f>
        <v>18.600000000000001</v>
      </c>
      <c r="D152" s="36" t="s">
        <v>510</v>
      </c>
    </row>
    <row r="153" spans="2:5" ht="14.25" customHeight="1" x14ac:dyDescent="0.3">
      <c r="B153" s="59" t="s">
        <v>511</v>
      </c>
      <c r="C153" s="60">
        <f>C142+C152</f>
        <v>75</v>
      </c>
      <c r="D153" s="36" t="s">
        <v>512</v>
      </c>
    </row>
    <row r="155" spans="2:5" ht="14.25" customHeight="1" x14ac:dyDescent="0.3">
      <c r="B155" s="34" t="s">
        <v>513</v>
      </c>
      <c r="C155" s="56">
        <v>75</v>
      </c>
      <c r="D155" s="36" t="s">
        <v>243</v>
      </c>
    </row>
    <row r="156" spans="2:5" ht="14.25" customHeight="1" x14ac:dyDescent="0.3">
      <c r="B156" s="57" t="s">
        <v>514</v>
      </c>
      <c r="C156" s="61">
        <f>C153-C155</f>
        <v>0</v>
      </c>
      <c r="D156" s="36" t="s">
        <v>515</v>
      </c>
    </row>
    <row r="158" spans="2:5" ht="14.25" customHeight="1" x14ac:dyDescent="0.3">
      <c r="B158" s="53" t="s">
        <v>516</v>
      </c>
    </row>
    <row r="159" spans="2:5" ht="14.25" customHeight="1" x14ac:dyDescent="0.3">
      <c r="B159" s="62" t="s">
        <v>517</v>
      </c>
      <c r="C159" s="62" t="s">
        <v>518</v>
      </c>
      <c r="D159" s="62" t="s">
        <v>519</v>
      </c>
      <c r="E159" s="62" t="s">
        <v>520</v>
      </c>
    </row>
    <row r="160" spans="2:5" ht="14.25" customHeight="1" x14ac:dyDescent="0.3">
      <c r="B160" s="57" t="s">
        <v>521</v>
      </c>
      <c r="C160" s="61">
        <f>C142+(1-0)*C152</f>
        <v>75</v>
      </c>
      <c r="D160" s="63">
        <f>1136/C160</f>
        <v>15.146666666666667</v>
      </c>
      <c r="E160" s="63">
        <f>1087/C160</f>
        <v>14.493333333333334</v>
      </c>
    </row>
    <row r="161" spans="2:5" ht="14.25" customHeight="1" x14ac:dyDescent="0.3">
      <c r="B161" s="57" t="s">
        <v>522</v>
      </c>
      <c r="C161" s="61">
        <f>C142+(1-0.25)*C152</f>
        <v>70.349999999999994</v>
      </c>
      <c r="D161" s="63">
        <f>1136/C161</f>
        <v>16.147832267235252</v>
      </c>
      <c r="E161" s="63">
        <f>1087/C161</f>
        <v>15.45131485429993</v>
      </c>
    </row>
    <row r="162" spans="2:5" ht="14.25" customHeight="1" x14ac:dyDescent="0.3">
      <c r="B162" s="57" t="s">
        <v>523</v>
      </c>
      <c r="C162" s="61">
        <f>C142+(1-0.5)*C152</f>
        <v>65.7</v>
      </c>
      <c r="D162" s="63">
        <f>1136/C162</f>
        <v>17.290715372907155</v>
      </c>
      <c r="E162" s="63">
        <f>1087/C162</f>
        <v>16.544901065449011</v>
      </c>
    </row>
    <row r="163" spans="2:5" ht="14.25" customHeight="1" x14ac:dyDescent="0.3">
      <c r="B163" s="57" t="s">
        <v>524</v>
      </c>
      <c r="C163" s="61">
        <f>C142+(1-0.75)*C152</f>
        <v>61.05</v>
      </c>
      <c r="D163" s="63">
        <f>1136/C163</f>
        <v>18.607698607698609</v>
      </c>
      <c r="E163" s="63">
        <f>1087/C163</f>
        <v>17.805077805077804</v>
      </c>
    </row>
    <row r="164" spans="2:5" ht="14.25" customHeight="1" x14ac:dyDescent="0.3">
      <c r="B164" s="57" t="s">
        <v>525</v>
      </c>
      <c r="C164" s="61">
        <f>C142+(1-1)*C152</f>
        <v>56.4</v>
      </c>
      <c r="D164" s="63">
        <f>1136/C164</f>
        <v>20.141843971631207</v>
      </c>
      <c r="E164" s="63">
        <f>1087/C164</f>
        <v>19.273049645390071</v>
      </c>
    </row>
    <row r="166" spans="2:5" ht="60" customHeight="1" x14ac:dyDescent="0.3">
      <c r="B166" s="54" t="s">
        <v>526</v>
      </c>
    </row>
  </sheetData>
  <mergeCells count="24">
    <mergeCell ref="B126:I126"/>
    <mergeCell ref="B113:I113"/>
    <mergeCell ref="B2:I2"/>
    <mergeCell ref="B117:I117"/>
    <mergeCell ref="B111:I111"/>
    <mergeCell ref="B47:H47"/>
    <mergeCell ref="B120:I120"/>
    <mergeCell ref="B119:I119"/>
    <mergeCell ref="B116:I116"/>
    <mergeCell ref="B112:I112"/>
    <mergeCell ref="B118:I118"/>
    <mergeCell ref="B5:I5"/>
    <mergeCell ref="B78:H78"/>
    <mergeCell ref="B114:I114"/>
    <mergeCell ref="B110:I110"/>
    <mergeCell ref="B125:I125"/>
    <mergeCell ref="B124:I124"/>
    <mergeCell ref="B123:I123"/>
    <mergeCell ref="B92:H92"/>
    <mergeCell ref="B3:I3"/>
    <mergeCell ref="B30:H30"/>
    <mergeCell ref="B115:I115"/>
    <mergeCell ref="B122:I122"/>
    <mergeCell ref="B35:H35"/>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2E75B6"/>
  </sheetPr>
  <dimension ref="B1:L102"/>
  <sheetViews>
    <sheetView zoomScaleNormal="100" workbookViewId="0">
      <pane xSplit="2" ySplit="6" topLeftCell="C7" activePane="bottomRight" state="frozen"/>
      <selection pane="topRight" activeCell="C1" sqref="C1"/>
      <selection pane="bottomLeft" activeCell="A7" sqref="A7"/>
      <selection pane="bottomRight"/>
    </sheetView>
  </sheetViews>
  <sheetFormatPr defaultColWidth="8.6640625" defaultRowHeight="14.4" x14ac:dyDescent="0.3"/>
  <cols>
    <col min="1" max="1" width="3" customWidth="1"/>
    <col min="2" max="2" width="28" customWidth="1"/>
    <col min="3" max="11" width="14" customWidth="1"/>
    <col min="12" max="12" width="50" customWidth="1"/>
  </cols>
  <sheetData>
    <row r="1" spans="2:12" ht="17.25" customHeight="1" x14ac:dyDescent="0.3">
      <c r="B1" s="28" t="s">
        <v>527</v>
      </c>
    </row>
    <row r="2" spans="2:12" ht="15" customHeight="1" x14ac:dyDescent="0.3">
      <c r="B2" s="32" t="s">
        <v>528</v>
      </c>
    </row>
    <row r="3" spans="2:12" ht="15" customHeight="1" x14ac:dyDescent="0.3">
      <c r="B3" s="32" t="s">
        <v>529</v>
      </c>
    </row>
    <row r="5" spans="2:12" ht="15" customHeight="1" x14ac:dyDescent="0.3">
      <c r="B5" s="44" t="s">
        <v>530</v>
      </c>
      <c r="C5" s="44" t="s">
        <v>531</v>
      </c>
      <c r="D5" s="44" t="s">
        <v>532</v>
      </c>
      <c r="E5" s="44" t="s">
        <v>533</v>
      </c>
      <c r="F5" s="44" t="s">
        <v>534</v>
      </c>
      <c r="G5" s="44" t="s">
        <v>535</v>
      </c>
      <c r="H5" s="44" t="s">
        <v>536</v>
      </c>
      <c r="I5" s="44" t="s">
        <v>537</v>
      </c>
      <c r="J5" s="44" t="s">
        <v>538</v>
      </c>
      <c r="K5" s="44" t="s">
        <v>539</v>
      </c>
      <c r="L5" s="44" t="s">
        <v>373</v>
      </c>
    </row>
    <row r="6" spans="2:12" ht="15" customHeight="1" x14ac:dyDescent="0.3">
      <c r="B6" s="30" t="s">
        <v>540</v>
      </c>
      <c r="C6" s="64" t="s">
        <v>541</v>
      </c>
      <c r="D6" s="65" t="s">
        <v>542</v>
      </c>
      <c r="E6" s="65" t="s">
        <v>543</v>
      </c>
      <c r="F6" s="65" t="s">
        <v>544</v>
      </c>
      <c r="G6" s="65" t="s">
        <v>545</v>
      </c>
      <c r="H6" s="65" t="s">
        <v>546</v>
      </c>
      <c r="I6" s="65" t="s">
        <v>547</v>
      </c>
      <c r="J6" s="65" t="s">
        <v>548</v>
      </c>
      <c r="K6" s="65" t="s">
        <v>549</v>
      </c>
      <c r="L6" s="32" t="s">
        <v>151</v>
      </c>
    </row>
    <row r="7" spans="2:12" ht="15" customHeight="1" x14ac:dyDescent="0.3">
      <c r="B7" s="39" t="s">
        <v>550</v>
      </c>
      <c r="C7" s="66">
        <v>193.5</v>
      </c>
      <c r="D7" s="67">
        <v>2014.6</v>
      </c>
      <c r="E7" s="67">
        <v>1058.9000000000001</v>
      </c>
      <c r="F7" s="67">
        <v>582.4</v>
      </c>
      <c r="G7" s="67">
        <v>393.9</v>
      </c>
      <c r="H7" s="67">
        <v>256.89999999999998</v>
      </c>
      <c r="I7" s="67">
        <v>223.1</v>
      </c>
      <c r="J7" s="67">
        <v>218.6</v>
      </c>
      <c r="K7" s="67">
        <v>134.9</v>
      </c>
      <c r="L7" s="32" t="s">
        <v>551</v>
      </c>
    </row>
    <row r="8" spans="2:12" ht="15" customHeight="1" x14ac:dyDescent="0.3">
      <c r="B8" s="30" t="s">
        <v>552</v>
      </c>
      <c r="C8" s="68">
        <v>-3.0000000000000001E-3</v>
      </c>
      <c r="D8" s="68">
        <v>-0.12</v>
      </c>
      <c r="E8" s="68">
        <v>-4.4999999999999998E-2</v>
      </c>
      <c r="F8" s="68">
        <v>-0.153</v>
      </c>
      <c r="G8" s="68">
        <v>0.11899999999999999</v>
      </c>
      <c r="H8" s="68">
        <v>6.8000000000000005E-2</v>
      </c>
      <c r="I8" s="68">
        <v>-4.0000000000000001E-3</v>
      </c>
      <c r="J8" s="68">
        <v>-4.0000000000000001E-3</v>
      </c>
      <c r="K8" s="68">
        <v>0.158</v>
      </c>
    </row>
    <row r="9" spans="2:12" ht="15" customHeight="1" x14ac:dyDescent="0.3">
      <c r="B9" s="39" t="s">
        <v>553</v>
      </c>
      <c r="C9" s="66">
        <v>38.299999999999997</v>
      </c>
      <c r="D9" s="67">
        <v>314.39999999999998</v>
      </c>
      <c r="E9" s="67">
        <v>354.8</v>
      </c>
      <c r="F9" s="67">
        <v>-62.2</v>
      </c>
      <c r="G9" s="67">
        <v>63.9</v>
      </c>
      <c r="H9" s="67">
        <v>5.4</v>
      </c>
      <c r="I9" s="67">
        <v>98.7</v>
      </c>
      <c r="J9" s="67">
        <v>85.9</v>
      </c>
      <c r="K9" s="67">
        <v>52.6</v>
      </c>
      <c r="L9" s="32" t="s">
        <v>551</v>
      </c>
    </row>
    <row r="10" spans="2:12" ht="15" customHeight="1" x14ac:dyDescent="0.3">
      <c r="B10" s="30" t="s">
        <v>554</v>
      </c>
      <c r="C10" s="68">
        <v>0.19800000000000001</v>
      </c>
      <c r="D10" s="68">
        <v>0.183</v>
      </c>
      <c r="E10" s="68">
        <v>0.06</v>
      </c>
      <c r="F10" s="68">
        <v>0.36499999999999999</v>
      </c>
      <c r="G10" s="68">
        <v>0.17100000000000001</v>
      </c>
      <c r="H10" s="68">
        <v>1.7000000000000001E-2</v>
      </c>
      <c r="I10" s="68">
        <v>0.443</v>
      </c>
      <c r="J10" s="68">
        <v>0.29199999999999998</v>
      </c>
      <c r="K10" s="68">
        <v>0.36899999999999999</v>
      </c>
    </row>
    <row r="11" spans="2:12" ht="15" customHeight="1" x14ac:dyDescent="0.3">
      <c r="B11" s="30" t="s">
        <v>555</v>
      </c>
      <c r="C11" s="69">
        <v>35.6</v>
      </c>
      <c r="D11" s="67">
        <v>152.1</v>
      </c>
      <c r="E11" s="70" t="s">
        <v>556</v>
      </c>
      <c r="F11" s="67">
        <v>-244</v>
      </c>
      <c r="G11" s="67">
        <v>47.4</v>
      </c>
      <c r="H11" s="70" t="s">
        <v>556</v>
      </c>
      <c r="I11" s="67">
        <v>12.8</v>
      </c>
      <c r="J11" s="67">
        <v>35.9</v>
      </c>
      <c r="K11" s="67">
        <v>26.2</v>
      </c>
    </row>
    <row r="12" spans="2:12" ht="15" customHeight="1" x14ac:dyDescent="0.3">
      <c r="B12" s="30" t="s">
        <v>557</v>
      </c>
      <c r="C12" s="68">
        <v>0</v>
      </c>
      <c r="D12" s="68">
        <v>2.8000000000000001E-2</v>
      </c>
      <c r="E12" s="68">
        <v>7.5999999999999998E-2</v>
      </c>
      <c r="F12" s="68">
        <v>9.0999999999999998E-2</v>
      </c>
      <c r="G12" s="68">
        <v>1.0999999999999999E-2</v>
      </c>
      <c r="H12" s="68">
        <v>1.2E-2</v>
      </c>
      <c r="I12" s="68">
        <v>0.29899999999999999</v>
      </c>
      <c r="J12" s="68">
        <v>0.28799999999999998</v>
      </c>
      <c r="K12" s="68">
        <v>0.27900000000000003</v>
      </c>
    </row>
    <row r="14" spans="2:12" ht="15" customHeight="1" x14ac:dyDescent="0.3">
      <c r="B14" s="44" t="s">
        <v>558</v>
      </c>
      <c r="C14" s="71"/>
      <c r="D14" s="71"/>
      <c r="E14" s="71"/>
      <c r="F14" s="71"/>
      <c r="G14" s="71"/>
      <c r="H14" s="71"/>
      <c r="I14" s="71"/>
      <c r="J14" s="71"/>
      <c r="K14" s="71"/>
      <c r="L14" s="71"/>
    </row>
    <row r="15" spans="2:12" ht="15" customHeight="1" x14ac:dyDescent="0.3">
      <c r="B15" s="39" t="s">
        <v>559</v>
      </c>
      <c r="C15" s="72"/>
      <c r="D15" s="73">
        <v>2.13</v>
      </c>
      <c r="E15" s="73">
        <v>1.99</v>
      </c>
      <c r="F15" s="73">
        <v>1.1000000000000001</v>
      </c>
      <c r="G15" s="70" t="s">
        <v>556</v>
      </c>
      <c r="H15" s="73">
        <v>8.26</v>
      </c>
      <c r="I15" s="73">
        <v>5.63</v>
      </c>
      <c r="J15" s="73">
        <v>2.02</v>
      </c>
      <c r="K15" s="73">
        <v>1.1200000000000001</v>
      </c>
      <c r="L15" s="32" t="s">
        <v>151</v>
      </c>
    </row>
    <row r="16" spans="2:12" ht="15" customHeight="1" x14ac:dyDescent="0.3">
      <c r="B16" s="39" t="s">
        <v>560</v>
      </c>
      <c r="C16" s="72"/>
      <c r="D16" s="73">
        <v>11.64</v>
      </c>
      <c r="E16" s="73">
        <v>33.020000000000003</v>
      </c>
      <c r="F16" s="73">
        <v>3.02</v>
      </c>
      <c r="G16" s="70" t="s">
        <v>556</v>
      </c>
      <c r="H16" s="73">
        <v>477.24</v>
      </c>
      <c r="I16" s="73">
        <v>12.72</v>
      </c>
      <c r="J16" s="73">
        <v>6.9</v>
      </c>
      <c r="K16" s="73">
        <v>3.03</v>
      </c>
      <c r="L16" s="32" t="s">
        <v>561</v>
      </c>
    </row>
    <row r="17" spans="2:11" ht="15" customHeight="1" x14ac:dyDescent="0.3">
      <c r="B17" s="30" t="s">
        <v>562</v>
      </c>
      <c r="C17" s="72"/>
      <c r="D17" s="73">
        <v>2.88</v>
      </c>
      <c r="E17" s="73">
        <v>3.08</v>
      </c>
      <c r="F17" s="73">
        <v>0.42</v>
      </c>
      <c r="G17" s="73">
        <v>1.07</v>
      </c>
      <c r="H17" s="73">
        <v>9.36</v>
      </c>
      <c r="I17" s="73">
        <v>6.22</v>
      </c>
      <c r="J17" s="73">
        <v>2.3199999999999998</v>
      </c>
      <c r="K17" s="73">
        <v>1.51</v>
      </c>
    </row>
    <row r="18" spans="2:11" ht="15" customHeight="1" x14ac:dyDescent="0.3">
      <c r="B18" s="30" t="s">
        <v>563</v>
      </c>
      <c r="C18" s="72"/>
      <c r="D18" s="73">
        <v>16.87</v>
      </c>
      <c r="E18" s="73">
        <v>117.25</v>
      </c>
      <c r="F18" s="73">
        <v>22.25</v>
      </c>
      <c r="G18" s="73">
        <v>8.43</v>
      </c>
      <c r="H18" s="70" t="s">
        <v>556</v>
      </c>
      <c r="I18" s="73">
        <v>109.35</v>
      </c>
      <c r="J18" s="73">
        <v>10.38</v>
      </c>
      <c r="K18" s="73">
        <v>8.4700000000000006</v>
      </c>
    </row>
    <row r="20" spans="2:11" ht="15" customHeight="1" x14ac:dyDescent="0.3">
      <c r="B20" s="44" t="s">
        <v>564</v>
      </c>
      <c r="C20" s="71"/>
      <c r="D20" s="71"/>
      <c r="E20" s="71"/>
      <c r="F20" s="71"/>
      <c r="G20" s="71"/>
    </row>
    <row r="21" spans="2:11" ht="15" customHeight="1" x14ac:dyDescent="0.3">
      <c r="B21" s="39"/>
      <c r="C21" s="74" t="s">
        <v>559</v>
      </c>
      <c r="D21" s="74" t="s">
        <v>565</v>
      </c>
      <c r="E21" s="32" t="s">
        <v>25</v>
      </c>
    </row>
    <row r="22" spans="2:11" ht="15" customHeight="1" x14ac:dyDescent="0.3">
      <c r="B22" s="39"/>
      <c r="C22" s="74" t="s">
        <v>566</v>
      </c>
      <c r="D22" s="74" t="s">
        <v>567</v>
      </c>
      <c r="E22" s="32"/>
    </row>
    <row r="23" spans="2:11" ht="15" customHeight="1" x14ac:dyDescent="0.3">
      <c r="B23" s="39" t="s">
        <v>568</v>
      </c>
      <c r="C23" s="75">
        <v>3.1785714285714302</v>
      </c>
      <c r="D23" s="75">
        <v>11.7216666666667</v>
      </c>
    </row>
    <row r="24" spans="2:11" ht="15" customHeight="1" x14ac:dyDescent="0.3">
      <c r="B24" s="39" t="s">
        <v>569</v>
      </c>
      <c r="C24" s="75">
        <v>2.02</v>
      </c>
      <c r="D24" s="75">
        <v>9.27</v>
      </c>
    </row>
    <row r="25" spans="2:11" ht="15" customHeight="1" x14ac:dyDescent="0.3">
      <c r="B25" s="30" t="s">
        <v>570</v>
      </c>
      <c r="C25" s="75">
        <v>1.5549999999999999</v>
      </c>
      <c r="D25" s="75">
        <v>3.9975000000000001</v>
      </c>
    </row>
    <row r="26" spans="2:11" ht="15" customHeight="1" x14ac:dyDescent="0.3">
      <c r="B26" s="30" t="s">
        <v>571</v>
      </c>
      <c r="C26" s="75">
        <v>3.88</v>
      </c>
      <c r="D26" s="75">
        <v>12.45</v>
      </c>
    </row>
    <row r="28" spans="2:11" ht="15" customHeight="1" x14ac:dyDescent="0.3">
      <c r="B28" s="44" t="s">
        <v>572</v>
      </c>
      <c r="C28" s="71"/>
      <c r="D28" s="71"/>
      <c r="E28" s="71"/>
      <c r="F28" s="71"/>
      <c r="G28" s="71"/>
    </row>
    <row r="29" spans="2:11" ht="15" customHeight="1" x14ac:dyDescent="0.3">
      <c r="B29" s="39"/>
      <c r="C29" s="74" t="s">
        <v>573</v>
      </c>
      <c r="D29" s="74" t="s">
        <v>574</v>
      </c>
      <c r="E29" s="74" t="s">
        <v>575</v>
      </c>
    </row>
    <row r="30" spans="2:11" ht="15" customHeight="1" x14ac:dyDescent="0.3">
      <c r="B30" s="30" t="s">
        <v>570</v>
      </c>
      <c r="C30" s="76">
        <v>300.89249999999998</v>
      </c>
      <c r="D30" s="76">
        <v>153.10425000000001</v>
      </c>
      <c r="E30" s="76">
        <v>299.8125</v>
      </c>
    </row>
    <row r="31" spans="2:11" ht="15" customHeight="1" x14ac:dyDescent="0.3">
      <c r="B31" s="39" t="s">
        <v>569</v>
      </c>
      <c r="C31" s="77">
        <v>390.87</v>
      </c>
      <c r="D31" s="77">
        <v>355.041</v>
      </c>
      <c r="E31" s="77">
        <v>695.25</v>
      </c>
    </row>
    <row r="32" spans="2:11" ht="15" customHeight="1" x14ac:dyDescent="0.3">
      <c r="B32" s="39" t="s">
        <v>568</v>
      </c>
      <c r="C32" s="77">
        <v>615.05357142857099</v>
      </c>
      <c r="D32" s="77">
        <v>448.93983333333301</v>
      </c>
      <c r="E32" s="77">
        <v>879.125</v>
      </c>
    </row>
    <row r="33" spans="2:10" ht="15" customHeight="1" x14ac:dyDescent="0.3">
      <c r="B33" s="30" t="s">
        <v>571</v>
      </c>
      <c r="C33" s="76">
        <v>750.78</v>
      </c>
      <c r="D33" s="76">
        <v>476.83499999999998</v>
      </c>
      <c r="E33" s="76">
        <v>933.75</v>
      </c>
    </row>
    <row r="35" spans="2:10" ht="15" customHeight="1" x14ac:dyDescent="0.3">
      <c r="B35" s="78" t="s">
        <v>576</v>
      </c>
      <c r="C35" s="79">
        <v>1136</v>
      </c>
      <c r="D35" s="79">
        <v>1136</v>
      </c>
      <c r="E35" s="79">
        <v>1136</v>
      </c>
      <c r="F35" s="32" t="s">
        <v>577</v>
      </c>
    </row>
    <row r="36" spans="2:10" ht="15" customHeight="1" x14ac:dyDescent="0.3">
      <c r="B36" s="39" t="s">
        <v>578</v>
      </c>
      <c r="C36" s="72"/>
      <c r="D36" s="72"/>
      <c r="E36" s="74" t="s">
        <v>579</v>
      </c>
      <c r="F36" s="32" t="s">
        <v>580</v>
      </c>
    </row>
    <row r="38" spans="2:10" ht="15" customHeight="1" x14ac:dyDescent="0.3">
      <c r="B38" s="195" t="s">
        <v>581</v>
      </c>
      <c r="C38" s="198"/>
      <c r="D38" s="198"/>
      <c r="E38" s="198"/>
      <c r="F38" s="198"/>
      <c r="G38" s="198"/>
      <c r="H38" s="196"/>
    </row>
    <row r="39" spans="2:10" ht="15" customHeight="1" x14ac:dyDescent="0.3">
      <c r="B39" s="197" t="s">
        <v>582</v>
      </c>
      <c r="C39" s="198"/>
      <c r="D39" s="198"/>
      <c r="E39" s="198"/>
      <c r="F39" s="198"/>
      <c r="G39" s="198"/>
      <c r="H39" s="198"/>
      <c r="I39" s="198"/>
      <c r="J39" s="196"/>
    </row>
    <row r="40" spans="2:10" ht="15" customHeight="1" x14ac:dyDescent="0.3">
      <c r="B40" s="197" t="s">
        <v>583</v>
      </c>
      <c r="C40" s="198"/>
      <c r="D40" s="198"/>
      <c r="E40" s="198"/>
      <c r="F40" s="198"/>
      <c r="G40" s="198"/>
      <c r="H40" s="198"/>
      <c r="I40" s="198"/>
      <c r="J40" s="196"/>
    </row>
    <row r="41" spans="2:10" ht="15" customHeight="1" x14ac:dyDescent="0.3">
      <c r="B41" s="197" t="s">
        <v>584</v>
      </c>
      <c r="C41" s="198"/>
      <c r="D41" s="198"/>
      <c r="E41" s="198"/>
      <c r="F41" s="198"/>
      <c r="G41" s="198"/>
      <c r="H41" s="198"/>
      <c r="I41" s="198"/>
      <c r="J41" s="196"/>
    </row>
    <row r="42" spans="2:10" ht="15" customHeight="1" x14ac:dyDescent="0.3">
      <c r="B42" s="197" t="s">
        <v>585</v>
      </c>
      <c r="C42" s="198"/>
      <c r="D42" s="198"/>
      <c r="E42" s="198"/>
      <c r="F42" s="198"/>
      <c r="G42" s="198"/>
      <c r="H42" s="198"/>
      <c r="I42" s="198"/>
      <c r="J42" s="196"/>
    </row>
    <row r="43" spans="2:10" ht="15" customHeight="1" x14ac:dyDescent="0.3">
      <c r="B43" s="197" t="s">
        <v>586</v>
      </c>
      <c r="C43" s="198"/>
      <c r="D43" s="198"/>
      <c r="E43" s="198"/>
      <c r="F43" s="198"/>
      <c r="G43" s="198"/>
      <c r="H43" s="198"/>
      <c r="I43" s="198"/>
      <c r="J43" s="196"/>
    </row>
    <row r="44" spans="2:10" ht="15" customHeight="1" x14ac:dyDescent="0.3">
      <c r="B44" s="197" t="s">
        <v>587</v>
      </c>
      <c r="C44" s="198"/>
      <c r="D44" s="198"/>
      <c r="E44" s="198"/>
      <c r="F44" s="198"/>
      <c r="G44" s="198"/>
      <c r="H44" s="198"/>
      <c r="I44" s="198"/>
      <c r="J44" s="196"/>
    </row>
    <row r="45" spans="2:10" ht="15" customHeight="1" x14ac:dyDescent="0.3">
      <c r="B45" s="197" t="s">
        <v>588</v>
      </c>
      <c r="C45" s="198"/>
      <c r="D45" s="198"/>
      <c r="E45" s="198"/>
      <c r="F45" s="198"/>
      <c r="G45" s="198"/>
      <c r="H45" s="198"/>
      <c r="I45" s="198"/>
      <c r="J45" s="196"/>
    </row>
    <row r="48" spans="2:10" ht="14.25" customHeight="1" x14ac:dyDescent="0.3">
      <c r="B48" s="33" t="s">
        <v>589</v>
      </c>
    </row>
    <row r="49" spans="2:4" ht="14.25" customHeight="1" x14ac:dyDescent="0.3">
      <c r="B49" s="36" t="s">
        <v>590</v>
      </c>
    </row>
    <row r="51" spans="2:4" ht="14.25" customHeight="1" x14ac:dyDescent="0.3">
      <c r="B51" s="34" t="s">
        <v>591</v>
      </c>
      <c r="C51" s="57">
        <f>MEDIAN(I15,J15,K15)</f>
        <v>2.02</v>
      </c>
    </row>
    <row r="52" spans="2:4" ht="14.25" customHeight="1" x14ac:dyDescent="0.3">
      <c r="B52" s="34" t="s">
        <v>592</v>
      </c>
      <c r="C52" s="57">
        <f>MEDIAN(I16,J16,K16)</f>
        <v>6.9</v>
      </c>
    </row>
    <row r="53" spans="2:4" ht="14.25" customHeight="1" x14ac:dyDescent="0.3">
      <c r="B53" s="34" t="s">
        <v>593</v>
      </c>
      <c r="C53" s="57">
        <f>C52*75</f>
        <v>517.5</v>
      </c>
      <c r="D53" s="36" t="s">
        <v>594</v>
      </c>
    </row>
    <row r="55" spans="2:4" ht="14.25" customHeight="1" x14ac:dyDescent="0.3">
      <c r="B55" s="53" t="s">
        <v>595</v>
      </c>
    </row>
    <row r="56" spans="2:4" ht="14.25" customHeight="1" x14ac:dyDescent="0.3">
      <c r="B56" s="36" t="s">
        <v>596</v>
      </c>
    </row>
    <row r="57" spans="2:4" ht="14.25" customHeight="1" x14ac:dyDescent="0.3">
      <c r="B57" s="34" t="s">
        <v>597</v>
      </c>
      <c r="C57" s="80">
        <f>DCF!D22</f>
        <v>69.517440000000008</v>
      </c>
    </row>
    <row r="58" spans="2:4" ht="14.25" customHeight="1" x14ac:dyDescent="0.3">
      <c r="B58" s="34" t="s">
        <v>598</v>
      </c>
      <c r="C58" s="57">
        <f>C57*1.2627</f>
        <v>87.779671488000005</v>
      </c>
    </row>
    <row r="59" spans="2:4" ht="14.25" customHeight="1" x14ac:dyDescent="0.3">
      <c r="B59" s="34" t="s">
        <v>599</v>
      </c>
      <c r="C59" s="57">
        <f>C52*C58</f>
        <v>605.67973326720005</v>
      </c>
      <c r="D59" s="36" t="s">
        <v>600</v>
      </c>
    </row>
    <row r="61" spans="2:4" ht="14.25" customHeight="1" x14ac:dyDescent="0.3">
      <c r="B61" s="34" t="s">
        <v>601</v>
      </c>
      <c r="C61" s="57">
        <f>1136-C59</f>
        <v>530.32026673279995</v>
      </c>
      <c r="D61" s="36" t="s">
        <v>602</v>
      </c>
    </row>
    <row r="64" spans="2:4" ht="14.25" customHeight="1" x14ac:dyDescent="0.3">
      <c r="B64" s="33" t="s">
        <v>603</v>
      </c>
    </row>
    <row r="65" spans="2:7" ht="48" customHeight="1" x14ac:dyDescent="0.3">
      <c r="B65" s="54" t="s">
        <v>604</v>
      </c>
    </row>
    <row r="67" spans="2:7" ht="14.25" customHeight="1" x14ac:dyDescent="0.3">
      <c r="B67" s="53" t="s">
        <v>605</v>
      </c>
    </row>
    <row r="68" spans="2:7" ht="14.25" customHeight="1" x14ac:dyDescent="0.3">
      <c r="B68" s="62" t="s">
        <v>606</v>
      </c>
      <c r="C68" s="62" t="s">
        <v>550</v>
      </c>
      <c r="D68" s="62" t="s">
        <v>607</v>
      </c>
      <c r="E68" s="62" t="s">
        <v>408</v>
      </c>
      <c r="F68" s="62" t="s">
        <v>573</v>
      </c>
      <c r="G68" s="62" t="s">
        <v>608</v>
      </c>
    </row>
    <row r="69" spans="2:7" ht="14.25" customHeight="1" x14ac:dyDescent="0.3">
      <c r="B69" s="57" t="s">
        <v>609</v>
      </c>
      <c r="C69" s="80">
        <f>I7</f>
        <v>223.1</v>
      </c>
      <c r="D69" s="81">
        <f>I8</f>
        <v>-4.0000000000000001E-3</v>
      </c>
      <c r="E69" s="81">
        <f>I10</f>
        <v>0.443</v>
      </c>
      <c r="F69" s="82">
        <f>I15</f>
        <v>5.63</v>
      </c>
      <c r="G69" s="82">
        <f>I16</f>
        <v>12.72</v>
      </c>
    </row>
    <row r="70" spans="2:7" ht="14.25" customHeight="1" x14ac:dyDescent="0.3">
      <c r="B70" s="57" t="s">
        <v>610</v>
      </c>
      <c r="C70" s="80">
        <f>J7</f>
        <v>218.6</v>
      </c>
      <c r="D70" s="81">
        <f>J8</f>
        <v>-4.0000000000000001E-3</v>
      </c>
      <c r="E70" s="81">
        <f>J10</f>
        <v>0.29199999999999998</v>
      </c>
      <c r="F70" s="82">
        <f>J15</f>
        <v>2.02</v>
      </c>
      <c r="G70" s="82">
        <f>J16</f>
        <v>6.9</v>
      </c>
    </row>
    <row r="71" spans="2:7" ht="14.25" customHeight="1" x14ac:dyDescent="0.3">
      <c r="B71" s="57" t="s">
        <v>611</v>
      </c>
      <c r="C71" s="80">
        <f>K7</f>
        <v>134.9</v>
      </c>
      <c r="D71" s="81">
        <f>K8</f>
        <v>0.158</v>
      </c>
      <c r="E71" s="81">
        <f>K10</f>
        <v>0.36899999999999999</v>
      </c>
      <c r="F71" s="82">
        <f>K15</f>
        <v>1.1200000000000001</v>
      </c>
      <c r="G71" s="82">
        <f>K16</f>
        <v>3.03</v>
      </c>
    </row>
    <row r="72" spans="2:7" ht="14.25" customHeight="1" x14ac:dyDescent="0.3">
      <c r="B72" s="34" t="s">
        <v>612</v>
      </c>
      <c r="C72" s="80">
        <f>C7</f>
        <v>193.5</v>
      </c>
      <c r="D72" s="81">
        <f>C8</f>
        <v>-3.0000000000000001E-3</v>
      </c>
      <c r="E72" s="81">
        <f>C10</f>
        <v>0.19800000000000001</v>
      </c>
      <c r="F72" s="57" t="s">
        <v>613</v>
      </c>
      <c r="G72" s="57" t="s">
        <v>613</v>
      </c>
    </row>
    <row r="73" spans="2:7" ht="14.25" customHeight="1" x14ac:dyDescent="0.3">
      <c r="B73" s="34" t="s">
        <v>614</v>
      </c>
      <c r="C73" s="61">
        <f>AVERAGE(C69:C71)</f>
        <v>192.20000000000002</v>
      </c>
      <c r="D73" s="83">
        <f>AVERAGE(D69:D71)</f>
        <v>4.9999999999999996E-2</v>
      </c>
      <c r="E73" s="83">
        <f>AVERAGE(E69:E71)</f>
        <v>0.36800000000000005</v>
      </c>
      <c r="F73" s="63">
        <f>AVERAGE(F69:F71)</f>
        <v>2.9233333333333333</v>
      </c>
      <c r="G73" s="63">
        <f>AVERAGE(G69:G71)</f>
        <v>7.5500000000000007</v>
      </c>
    </row>
    <row r="75" spans="2:7" ht="14.25" customHeight="1" x14ac:dyDescent="0.3">
      <c r="B75" s="53" t="s">
        <v>615</v>
      </c>
    </row>
    <row r="76" spans="2:7" ht="14.25" customHeight="1" x14ac:dyDescent="0.3">
      <c r="B76" s="57" t="s">
        <v>616</v>
      </c>
      <c r="C76" s="84">
        <f>SLOPE(G69:G71,D69:D71)</f>
        <v>-41.851851851851862</v>
      </c>
      <c r="D76" s="36" t="s">
        <v>617</v>
      </c>
    </row>
    <row r="77" spans="2:7" ht="14.25" customHeight="1" x14ac:dyDescent="0.3">
      <c r="B77" s="57" t="s">
        <v>618</v>
      </c>
      <c r="C77" s="85">
        <f>INTERCEPT(G69:G71,D69:D71)</f>
        <v>9.6425925925925942</v>
      </c>
    </row>
    <row r="78" spans="2:7" ht="14.25" customHeight="1" x14ac:dyDescent="0.3">
      <c r="B78" s="57" t="s">
        <v>619</v>
      </c>
      <c r="C78" s="84">
        <f>RSQ(G69:G71,D69:D71)</f>
        <v>0.64406138481520259</v>
      </c>
      <c r="D78" s="36" t="s">
        <v>620</v>
      </c>
    </row>
    <row r="79" spans="2:7" ht="14.25" customHeight="1" x14ac:dyDescent="0.3">
      <c r="B79" s="59" t="s">
        <v>621</v>
      </c>
      <c r="C79" s="86">
        <f>C77+C76*D72</f>
        <v>9.7681481481481498</v>
      </c>
      <c r="D79" s="36" t="s">
        <v>622</v>
      </c>
    </row>
    <row r="80" spans="2:7" ht="14.25" customHeight="1" x14ac:dyDescent="0.3">
      <c r="B80" s="57" t="s">
        <v>623</v>
      </c>
      <c r="C80" s="63">
        <f>G73</f>
        <v>7.5500000000000007</v>
      </c>
    </row>
    <row r="81" spans="2:5" ht="14.25" customHeight="1" x14ac:dyDescent="0.3">
      <c r="B81" s="57" t="s">
        <v>624</v>
      </c>
      <c r="C81" s="63">
        <f>G73*(E72/E73)</f>
        <v>4.0622282608695652</v>
      </c>
      <c r="D81" s="36" t="s">
        <v>625</v>
      </c>
    </row>
    <row r="83" spans="2:5" ht="14.25" customHeight="1" x14ac:dyDescent="0.3">
      <c r="B83" s="53" t="s">
        <v>626</v>
      </c>
    </row>
    <row r="84" spans="2:5" ht="14.25" customHeight="1" x14ac:dyDescent="0.3">
      <c r="B84" s="62" t="s">
        <v>49</v>
      </c>
      <c r="C84" s="62" t="s">
        <v>627</v>
      </c>
      <c r="D84" s="62" t="s">
        <v>628</v>
      </c>
      <c r="E84" s="62" t="s">
        <v>629</v>
      </c>
    </row>
    <row r="85" spans="2:5" ht="14.25" customHeight="1" x14ac:dyDescent="0.3">
      <c r="B85" s="57" t="s">
        <v>630</v>
      </c>
      <c r="C85" s="82">
        <f>C79</f>
        <v>9.7681481481481498</v>
      </c>
      <c r="D85" s="87">
        <f>C79*75</f>
        <v>732.6111111111112</v>
      </c>
      <c r="E85" s="87">
        <f>C79*56.4</f>
        <v>550.92355555555559</v>
      </c>
    </row>
    <row r="86" spans="2:5" ht="14.25" customHeight="1" x14ac:dyDescent="0.3">
      <c r="B86" s="57" t="s">
        <v>631</v>
      </c>
      <c r="C86" s="82">
        <f>C80</f>
        <v>7.5500000000000007</v>
      </c>
      <c r="D86" s="87">
        <f>C80*75</f>
        <v>566.25</v>
      </c>
      <c r="E86" s="87">
        <f>C80*56.4</f>
        <v>425.82000000000005</v>
      </c>
    </row>
    <row r="87" spans="2:5" ht="14.25" customHeight="1" x14ac:dyDescent="0.3">
      <c r="B87" s="57" t="s">
        <v>632</v>
      </c>
      <c r="C87" s="82">
        <f>C81</f>
        <v>4.0622282608695652</v>
      </c>
      <c r="D87" s="87">
        <f>C81*75</f>
        <v>304.66711956521738</v>
      </c>
      <c r="E87" s="87">
        <f>C81*56.4</f>
        <v>229.10967391304348</v>
      </c>
    </row>
    <row r="88" spans="2:5" ht="14.25" customHeight="1" x14ac:dyDescent="0.3">
      <c r="B88" s="34" t="s">
        <v>633</v>
      </c>
      <c r="C88" s="63">
        <v>15.1</v>
      </c>
      <c r="D88" s="88">
        <v>1136</v>
      </c>
      <c r="E88" s="88">
        <v>1136</v>
      </c>
    </row>
    <row r="90" spans="2:5" ht="72" customHeight="1" x14ac:dyDescent="0.3">
      <c r="B90" s="54" t="s">
        <v>634</v>
      </c>
    </row>
    <row r="92" spans="2:5" ht="14.25" customHeight="1" x14ac:dyDescent="0.3">
      <c r="B92" s="53" t="s">
        <v>635</v>
      </c>
    </row>
    <row r="93" spans="2:5" ht="14.25" customHeight="1" x14ac:dyDescent="0.3">
      <c r="B93" s="54" t="s">
        <v>636</v>
      </c>
    </row>
    <row r="94" spans="2:5" ht="14.25" customHeight="1" x14ac:dyDescent="0.3">
      <c r="B94" s="57" t="s">
        <v>637</v>
      </c>
      <c r="C94" s="83">
        <f>75/193.5</f>
        <v>0.38759689922480622</v>
      </c>
      <c r="D94" s="36" t="s">
        <v>638</v>
      </c>
    </row>
    <row r="95" spans="2:5" ht="14.25" customHeight="1" x14ac:dyDescent="0.3">
      <c r="B95" s="57" t="s">
        <v>639</v>
      </c>
      <c r="C95" s="81">
        <f>E73</f>
        <v>0.36800000000000005</v>
      </c>
    </row>
    <row r="96" spans="2:5" ht="14.25" customHeight="1" x14ac:dyDescent="0.3">
      <c r="B96" s="59" t="s">
        <v>640</v>
      </c>
      <c r="C96" s="86">
        <f>G73*(C94/C95)</f>
        <v>7.952055948769801</v>
      </c>
      <c r="D96" s="36" t="s">
        <v>641</v>
      </c>
    </row>
    <row r="97" spans="2:4" ht="14.25" customHeight="1" x14ac:dyDescent="0.3">
      <c r="B97" s="59" t="s">
        <v>642</v>
      </c>
      <c r="C97" s="89">
        <f>C96*75</f>
        <v>596.4041961577351</v>
      </c>
      <c r="D97" s="36" t="s">
        <v>492</v>
      </c>
    </row>
    <row r="99" spans="2:4" ht="14.25" customHeight="1" x14ac:dyDescent="0.3">
      <c r="B99" s="53" t="s">
        <v>643</v>
      </c>
    </row>
    <row r="100" spans="2:4" ht="72" customHeight="1" x14ac:dyDescent="0.3">
      <c r="B100" s="54" t="s">
        <v>644</v>
      </c>
    </row>
    <row r="102" spans="2:4" ht="84" customHeight="1" x14ac:dyDescent="0.3">
      <c r="B102" s="54" t="s">
        <v>645</v>
      </c>
    </row>
  </sheetData>
  <mergeCells count="8">
    <mergeCell ref="B45:J45"/>
    <mergeCell ref="B42:J42"/>
    <mergeCell ref="B40:J40"/>
    <mergeCell ref="B38:H38"/>
    <mergeCell ref="B41:J41"/>
    <mergeCell ref="B43:J43"/>
    <mergeCell ref="B39:J39"/>
    <mergeCell ref="B44:J44"/>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2E75B6"/>
  </sheetPr>
  <dimension ref="B1:I81"/>
  <sheetViews>
    <sheetView zoomScaleNormal="100" workbookViewId="0">
      <pane xSplit="1" ySplit="6" topLeftCell="B7" activePane="bottomRight" state="frozen"/>
      <selection pane="topRight" activeCell="B1" sqref="B1"/>
      <selection pane="bottomLeft" activeCell="A7" sqref="A7"/>
      <selection pane="bottomRight"/>
    </sheetView>
  </sheetViews>
  <sheetFormatPr defaultColWidth="8.6640625" defaultRowHeight="14.4" x14ac:dyDescent="0.3"/>
  <cols>
    <col min="1" max="1" width="3" customWidth="1"/>
    <col min="2" max="2" width="24" customWidth="1"/>
    <col min="3" max="3" width="13" customWidth="1"/>
    <col min="4" max="4" width="22" customWidth="1"/>
    <col min="5" max="5" width="24" customWidth="1"/>
    <col min="6" max="8" width="14" customWidth="1"/>
    <col min="9" max="9" width="50" customWidth="1"/>
  </cols>
  <sheetData>
    <row r="1" spans="2:9" ht="17.25" customHeight="1" x14ac:dyDescent="0.3">
      <c r="B1" s="28" t="s">
        <v>646</v>
      </c>
    </row>
    <row r="2" spans="2:9" ht="15" customHeight="1" x14ac:dyDescent="0.3">
      <c r="B2" s="32" t="s">
        <v>647</v>
      </c>
    </row>
    <row r="3" spans="2:9" ht="15" customHeight="1" x14ac:dyDescent="0.3">
      <c r="B3" s="32" t="s">
        <v>648</v>
      </c>
    </row>
    <row r="5" spans="2:9" ht="15" customHeight="1" x14ac:dyDescent="0.3">
      <c r="B5" s="44" t="s">
        <v>649</v>
      </c>
      <c r="C5" s="71"/>
      <c r="D5" s="71"/>
      <c r="E5" s="71"/>
      <c r="F5" s="71"/>
      <c r="G5" s="71"/>
      <c r="H5" s="71"/>
    </row>
    <row r="6" spans="2:9" ht="15" customHeight="1" x14ac:dyDescent="0.3">
      <c r="B6" s="44" t="s">
        <v>143</v>
      </c>
      <c r="C6" s="44" t="s">
        <v>453</v>
      </c>
      <c r="D6" s="44" t="s">
        <v>146</v>
      </c>
      <c r="E6" s="44" t="s">
        <v>650</v>
      </c>
      <c r="F6" s="44" t="s">
        <v>174</v>
      </c>
      <c r="G6" s="44" t="s">
        <v>608</v>
      </c>
      <c r="H6" s="44" t="s">
        <v>651</v>
      </c>
      <c r="I6" s="44" t="s">
        <v>25</v>
      </c>
    </row>
    <row r="7" spans="2:9" ht="15" customHeight="1" x14ac:dyDescent="0.3">
      <c r="B7" s="90" t="s">
        <v>652</v>
      </c>
      <c r="C7" s="91" t="s">
        <v>653</v>
      </c>
      <c r="D7" s="91" t="s">
        <v>654</v>
      </c>
      <c r="E7" s="90" t="s">
        <v>655</v>
      </c>
      <c r="F7" s="91" t="s">
        <v>656</v>
      </c>
      <c r="G7" s="92">
        <v>35.49</v>
      </c>
      <c r="H7" s="93" t="s">
        <v>556</v>
      </c>
      <c r="I7" s="94" t="s">
        <v>657</v>
      </c>
    </row>
    <row r="8" spans="2:9" ht="55.5" customHeight="1" x14ac:dyDescent="0.3">
      <c r="B8" s="39" t="s">
        <v>658</v>
      </c>
      <c r="C8" s="95" t="s">
        <v>659</v>
      </c>
      <c r="D8" s="95" t="s">
        <v>660</v>
      </c>
      <c r="E8" s="30" t="s">
        <v>661</v>
      </c>
      <c r="F8" s="95" t="s">
        <v>656</v>
      </c>
      <c r="G8" s="96">
        <v>29.8</v>
      </c>
      <c r="H8" s="73">
        <v>8.44</v>
      </c>
      <c r="I8" s="46" t="s">
        <v>662</v>
      </c>
    </row>
    <row r="9" spans="2:9" ht="15" customHeight="1" x14ac:dyDescent="0.3">
      <c r="B9" s="39" t="s">
        <v>663</v>
      </c>
      <c r="C9" s="95" t="s">
        <v>664</v>
      </c>
      <c r="D9" s="95" t="s">
        <v>665</v>
      </c>
      <c r="E9" s="30" t="s">
        <v>666</v>
      </c>
      <c r="F9" s="95" t="s">
        <v>656</v>
      </c>
      <c r="G9" s="73">
        <v>13.56</v>
      </c>
      <c r="H9" s="73">
        <v>5.01</v>
      </c>
      <c r="I9" s="97" t="s">
        <v>667</v>
      </c>
    </row>
    <row r="10" spans="2:9" ht="15" customHeight="1" x14ac:dyDescent="0.3">
      <c r="B10" s="39" t="s">
        <v>668</v>
      </c>
      <c r="C10" s="95" t="s">
        <v>669</v>
      </c>
      <c r="D10" s="95" t="s">
        <v>670</v>
      </c>
      <c r="E10" s="30" t="s">
        <v>671</v>
      </c>
      <c r="F10" s="95" t="s">
        <v>656</v>
      </c>
      <c r="G10" s="73">
        <v>12.71</v>
      </c>
      <c r="H10" s="70" t="s">
        <v>556</v>
      </c>
      <c r="I10" s="97" t="s">
        <v>672</v>
      </c>
    </row>
    <row r="11" spans="2:9" ht="15" customHeight="1" x14ac:dyDescent="0.3">
      <c r="B11" s="90" t="s">
        <v>673</v>
      </c>
      <c r="C11" s="91" t="s">
        <v>674</v>
      </c>
      <c r="D11" s="91" t="s">
        <v>675</v>
      </c>
      <c r="E11" s="90" t="s">
        <v>676</v>
      </c>
      <c r="F11" s="91" t="s">
        <v>656</v>
      </c>
      <c r="G11" s="92">
        <v>2.4</v>
      </c>
      <c r="H11" s="92">
        <v>2.36</v>
      </c>
      <c r="I11" s="94" t="s">
        <v>677</v>
      </c>
    </row>
    <row r="12" spans="2:9" ht="15" customHeight="1" x14ac:dyDescent="0.3">
      <c r="B12" s="90" t="s">
        <v>678</v>
      </c>
      <c r="C12" s="91" t="s">
        <v>679</v>
      </c>
      <c r="D12" s="91" t="s">
        <v>675</v>
      </c>
      <c r="E12" s="90" t="s">
        <v>680</v>
      </c>
      <c r="F12" s="91" t="s">
        <v>656</v>
      </c>
      <c r="G12" s="92">
        <v>0.95</v>
      </c>
      <c r="H12" s="92">
        <v>0.24</v>
      </c>
      <c r="I12" s="94" t="s">
        <v>681</v>
      </c>
    </row>
    <row r="14" spans="2:9" ht="15" customHeight="1" x14ac:dyDescent="0.3">
      <c r="B14" s="205" t="s">
        <v>682</v>
      </c>
      <c r="C14" s="198"/>
      <c r="D14" s="198"/>
      <c r="E14" s="198"/>
      <c r="F14" s="198"/>
      <c r="G14" s="198"/>
      <c r="H14" s="198"/>
      <c r="I14" s="196"/>
    </row>
    <row r="16" spans="2:9" ht="15" customHeight="1" x14ac:dyDescent="0.3">
      <c r="B16" s="44" t="s">
        <v>564</v>
      </c>
      <c r="C16" s="71"/>
      <c r="D16" s="71"/>
      <c r="E16" s="71"/>
      <c r="F16" s="71"/>
      <c r="G16" s="71"/>
      <c r="H16" s="71"/>
    </row>
    <row r="17" spans="2:9" ht="15" customHeight="1" x14ac:dyDescent="0.3">
      <c r="B17" s="98" t="s">
        <v>683</v>
      </c>
      <c r="C17" s="98" t="s">
        <v>684</v>
      </c>
      <c r="D17" s="98" t="s">
        <v>685</v>
      </c>
      <c r="E17" s="99"/>
      <c r="F17" s="98" t="s">
        <v>686</v>
      </c>
      <c r="G17" s="98" t="s">
        <v>687</v>
      </c>
      <c r="H17" s="98" t="s">
        <v>25</v>
      </c>
    </row>
    <row r="18" spans="2:9" ht="15" customHeight="1" x14ac:dyDescent="0.3">
      <c r="B18" s="39" t="s">
        <v>568</v>
      </c>
      <c r="C18" s="100">
        <v>13.608333333333301</v>
      </c>
      <c r="D18" s="100">
        <v>14.27</v>
      </c>
      <c r="F18" s="100">
        <v>4.0125000000000002</v>
      </c>
      <c r="G18" s="100">
        <v>6.7249999999999996</v>
      </c>
    </row>
    <row r="19" spans="2:9" ht="15" customHeight="1" x14ac:dyDescent="0.3">
      <c r="B19" s="39" t="s">
        <v>569</v>
      </c>
      <c r="C19" s="100">
        <v>13.135</v>
      </c>
      <c r="D19" s="100">
        <v>13.56</v>
      </c>
      <c r="F19" s="100">
        <v>3.6850000000000001</v>
      </c>
      <c r="G19" s="100">
        <v>6.7249999999999996</v>
      </c>
    </row>
    <row r="20" spans="2:9" ht="15" customHeight="1" x14ac:dyDescent="0.3">
      <c r="B20" s="30" t="s">
        <v>570</v>
      </c>
      <c r="C20" s="75">
        <v>4.9775</v>
      </c>
      <c r="D20" s="75">
        <v>13.135</v>
      </c>
      <c r="F20" s="75">
        <v>1.83</v>
      </c>
      <c r="G20" s="75">
        <v>5.8674999999999997</v>
      </c>
    </row>
    <row r="21" spans="2:9" ht="15" customHeight="1" x14ac:dyDescent="0.3">
      <c r="B21" s="30" t="s">
        <v>571</v>
      </c>
      <c r="C21" s="75">
        <v>15.795</v>
      </c>
      <c r="D21" s="75">
        <v>15.05</v>
      </c>
      <c r="F21" s="75">
        <v>5.8674999999999997</v>
      </c>
      <c r="G21" s="75">
        <v>7.5824999999999996</v>
      </c>
    </row>
    <row r="22" spans="2:9" ht="15" customHeight="1" x14ac:dyDescent="0.3">
      <c r="B22" s="30" t="s">
        <v>688</v>
      </c>
      <c r="C22" s="75">
        <v>0.95</v>
      </c>
      <c r="D22" s="75">
        <v>12.71</v>
      </c>
      <c r="F22" s="75">
        <v>0.24</v>
      </c>
      <c r="G22" s="75">
        <v>5.01</v>
      </c>
    </row>
    <row r="23" spans="2:9" ht="15" customHeight="1" x14ac:dyDescent="0.3">
      <c r="B23" s="30" t="s">
        <v>689</v>
      </c>
      <c r="C23" s="75">
        <v>35.49</v>
      </c>
      <c r="D23" s="75">
        <v>16.54</v>
      </c>
      <c r="F23" s="75">
        <v>8.44</v>
      </c>
      <c r="G23" s="75">
        <v>8.44</v>
      </c>
    </row>
    <row r="25" spans="2:9" ht="15" customHeight="1" x14ac:dyDescent="0.3">
      <c r="B25" s="204" t="s">
        <v>690</v>
      </c>
      <c r="C25" s="198"/>
      <c r="D25" s="198"/>
      <c r="E25" s="198"/>
      <c r="F25" s="198"/>
      <c r="G25" s="198"/>
      <c r="H25" s="198"/>
      <c r="I25" s="196"/>
    </row>
    <row r="26" spans="2:9" ht="15" customHeight="1" x14ac:dyDescent="0.3">
      <c r="B26" s="204" t="s">
        <v>691</v>
      </c>
      <c r="C26" s="198"/>
      <c r="D26" s="198"/>
      <c r="E26" s="198"/>
      <c r="F26" s="198"/>
      <c r="G26" s="198"/>
      <c r="H26" s="198"/>
      <c r="I26" s="196"/>
    </row>
    <row r="28" spans="2:9" ht="15" customHeight="1" x14ac:dyDescent="0.3">
      <c r="B28" s="44" t="s">
        <v>692</v>
      </c>
      <c r="C28" s="71"/>
      <c r="D28" s="71"/>
      <c r="E28" s="71"/>
      <c r="F28" s="71"/>
      <c r="G28" s="71"/>
      <c r="H28" s="71"/>
    </row>
    <row r="29" spans="2:9" ht="15" customHeight="1" x14ac:dyDescent="0.3">
      <c r="B29" s="98" t="s">
        <v>693</v>
      </c>
      <c r="C29" s="98" t="s">
        <v>694</v>
      </c>
      <c r="D29" s="98" t="s">
        <v>492</v>
      </c>
      <c r="E29" s="98" t="s">
        <v>36</v>
      </c>
      <c r="F29" s="99"/>
      <c r="G29" s="99"/>
      <c r="H29" s="99"/>
      <c r="I29" s="98" t="s">
        <v>695</v>
      </c>
    </row>
    <row r="30" spans="2:9" ht="15" customHeight="1" x14ac:dyDescent="0.3">
      <c r="B30" s="30" t="s">
        <v>696</v>
      </c>
      <c r="C30" s="75">
        <v>4.9775</v>
      </c>
      <c r="D30" s="43">
        <v>373.3125</v>
      </c>
      <c r="E30" s="43">
        <v>295.64623425991903</v>
      </c>
      <c r="I30" s="41" t="s">
        <v>697</v>
      </c>
    </row>
    <row r="31" spans="2:9" ht="15" customHeight="1" x14ac:dyDescent="0.3">
      <c r="B31" s="39" t="s">
        <v>698</v>
      </c>
      <c r="C31" s="100">
        <v>13.135</v>
      </c>
      <c r="D31" s="101">
        <v>985.125</v>
      </c>
      <c r="E31" s="101">
        <v>780.17343787122797</v>
      </c>
      <c r="I31" s="41" t="s">
        <v>697</v>
      </c>
    </row>
    <row r="32" spans="2:9" ht="15" customHeight="1" x14ac:dyDescent="0.3">
      <c r="B32" s="30" t="s">
        <v>699</v>
      </c>
      <c r="C32" s="75">
        <v>13.608333333333301</v>
      </c>
      <c r="D32" s="43">
        <v>1020.625</v>
      </c>
      <c r="E32" s="43">
        <v>808.287795992714</v>
      </c>
      <c r="I32" s="41" t="s">
        <v>697</v>
      </c>
    </row>
    <row r="33" spans="2:9" ht="15" customHeight="1" x14ac:dyDescent="0.3">
      <c r="B33" s="30" t="s">
        <v>700</v>
      </c>
      <c r="C33" s="75">
        <v>15.795</v>
      </c>
      <c r="D33" s="43">
        <v>1184.625</v>
      </c>
      <c r="E33" s="43">
        <v>938.16821097647903</v>
      </c>
      <c r="I33" s="41" t="s">
        <v>697</v>
      </c>
    </row>
    <row r="35" spans="2:9" ht="15" customHeight="1" x14ac:dyDescent="0.3">
      <c r="B35" s="39" t="s">
        <v>701</v>
      </c>
      <c r="C35" s="100">
        <v>13.56</v>
      </c>
      <c r="D35" s="101">
        <v>1017</v>
      </c>
      <c r="E35" s="101">
        <v>805.41696364932295</v>
      </c>
      <c r="I35" s="41" t="s">
        <v>697</v>
      </c>
    </row>
    <row r="36" spans="2:9" ht="15" customHeight="1" x14ac:dyDescent="0.3">
      <c r="B36" s="30" t="s">
        <v>702</v>
      </c>
      <c r="C36" s="75">
        <v>14.27</v>
      </c>
      <c r="D36" s="43">
        <v>1070.25</v>
      </c>
      <c r="E36" s="43">
        <v>847.58850083155198</v>
      </c>
      <c r="I36" s="41" t="s">
        <v>697</v>
      </c>
    </row>
    <row r="38" spans="2:9" ht="15" customHeight="1" x14ac:dyDescent="0.3">
      <c r="B38" s="39" t="s">
        <v>703</v>
      </c>
      <c r="C38" s="100">
        <v>13.135</v>
      </c>
      <c r="D38" s="101">
        <v>740.81399999999996</v>
      </c>
      <c r="E38" s="101">
        <v>586.69042527916395</v>
      </c>
      <c r="I38" s="41" t="s">
        <v>704</v>
      </c>
    </row>
    <row r="40" spans="2:9" ht="15" customHeight="1" x14ac:dyDescent="0.3">
      <c r="B40" s="30" t="s">
        <v>705</v>
      </c>
      <c r="C40" s="75">
        <v>3.6850000000000001</v>
      </c>
      <c r="D40" s="43">
        <v>695.72799999999995</v>
      </c>
      <c r="E40" s="43">
        <v>550.98439851112698</v>
      </c>
      <c r="I40" s="41" t="s">
        <v>706</v>
      </c>
    </row>
    <row r="41" spans="2:9" ht="15" customHeight="1" x14ac:dyDescent="0.3">
      <c r="B41" s="30" t="s">
        <v>707</v>
      </c>
      <c r="C41" s="75">
        <v>6.7249999999999996</v>
      </c>
      <c r="D41" s="43">
        <v>1269.68</v>
      </c>
      <c r="E41" s="43">
        <v>1005.52783717431</v>
      </c>
      <c r="I41" s="41" t="s">
        <v>706</v>
      </c>
    </row>
    <row r="43" spans="2:9" ht="15" customHeight="1" x14ac:dyDescent="0.3">
      <c r="B43" s="102" t="s">
        <v>708</v>
      </c>
      <c r="C43" s="103" t="s">
        <v>259</v>
      </c>
      <c r="D43" s="104">
        <v>1136</v>
      </c>
      <c r="E43" s="104">
        <v>900</v>
      </c>
      <c r="I43" s="41" t="s">
        <v>709</v>
      </c>
    </row>
    <row r="45" spans="2:9" ht="15" customHeight="1" x14ac:dyDescent="0.3">
      <c r="B45" s="195" t="s">
        <v>581</v>
      </c>
      <c r="C45" s="198"/>
      <c r="D45" s="198"/>
      <c r="E45" s="198"/>
      <c r="F45" s="198"/>
      <c r="G45" s="198"/>
      <c r="H45" s="198"/>
      <c r="I45" s="196"/>
    </row>
    <row r="46" spans="2:9" ht="15" customHeight="1" x14ac:dyDescent="0.3">
      <c r="B46" s="197" t="s">
        <v>710</v>
      </c>
      <c r="C46" s="198"/>
      <c r="D46" s="198"/>
      <c r="E46" s="198"/>
      <c r="F46" s="198"/>
      <c r="G46" s="198"/>
      <c r="H46" s="198"/>
      <c r="I46" s="196"/>
    </row>
    <row r="47" spans="2:9" ht="15" customHeight="1" x14ac:dyDescent="0.3">
      <c r="B47" s="197" t="s">
        <v>711</v>
      </c>
      <c r="C47" s="198"/>
      <c r="D47" s="198"/>
      <c r="E47" s="198"/>
      <c r="F47" s="198"/>
      <c r="G47" s="198"/>
      <c r="H47" s="198"/>
      <c r="I47" s="196"/>
    </row>
    <row r="48" spans="2:9" ht="15" customHeight="1" x14ac:dyDescent="0.3">
      <c r="B48" s="197" t="s">
        <v>712</v>
      </c>
      <c r="C48" s="198"/>
      <c r="D48" s="198"/>
      <c r="E48" s="198"/>
      <c r="F48" s="198"/>
      <c r="G48" s="198"/>
      <c r="H48" s="198"/>
      <c r="I48" s="196"/>
    </row>
    <row r="49" spans="2:9" ht="15" customHeight="1" x14ac:dyDescent="0.3">
      <c r="B49" s="197" t="s">
        <v>713</v>
      </c>
      <c r="C49" s="198"/>
      <c r="D49" s="198"/>
      <c r="E49" s="198"/>
      <c r="F49" s="198"/>
      <c r="G49" s="198"/>
      <c r="H49" s="198"/>
      <c r="I49" s="196"/>
    </row>
    <row r="50" spans="2:9" ht="15" customHeight="1" x14ac:dyDescent="0.3">
      <c r="B50" s="197" t="s">
        <v>714</v>
      </c>
      <c r="C50" s="198"/>
      <c r="D50" s="198"/>
      <c r="E50" s="198"/>
      <c r="F50" s="198"/>
      <c r="G50" s="198"/>
      <c r="H50" s="198"/>
      <c r="I50" s="196"/>
    </row>
    <row r="51" spans="2:9" ht="15" customHeight="1" x14ac:dyDescent="0.3">
      <c r="B51" s="197" t="s">
        <v>715</v>
      </c>
      <c r="C51" s="198"/>
      <c r="D51" s="198"/>
      <c r="E51" s="198"/>
      <c r="F51" s="198"/>
      <c r="G51" s="198"/>
      <c r="H51" s="198"/>
      <c r="I51" s="196"/>
    </row>
    <row r="52" spans="2:9" ht="15" customHeight="1" x14ac:dyDescent="0.3">
      <c r="B52" s="197" t="s">
        <v>716</v>
      </c>
      <c r="C52" s="198"/>
      <c r="D52" s="198"/>
      <c r="E52" s="198"/>
      <c r="F52" s="198"/>
      <c r="G52" s="198"/>
      <c r="H52" s="198"/>
      <c r="I52" s="196"/>
    </row>
    <row r="53" spans="2:9" ht="15" customHeight="1" x14ac:dyDescent="0.3">
      <c r="B53" s="197" t="s">
        <v>717</v>
      </c>
      <c r="C53" s="198"/>
      <c r="D53" s="198"/>
      <c r="E53" s="198"/>
      <c r="F53" s="198"/>
      <c r="G53" s="198"/>
      <c r="H53" s="198"/>
      <c r="I53" s="196"/>
    </row>
    <row r="55" spans="2:9" ht="14.25" customHeight="1" x14ac:dyDescent="0.3">
      <c r="B55" s="33" t="s">
        <v>718</v>
      </c>
    </row>
    <row r="56" spans="2:9" ht="14.25" customHeight="1" x14ac:dyDescent="0.3">
      <c r="B56" s="54" t="s">
        <v>719</v>
      </c>
    </row>
    <row r="58" spans="2:9" ht="14.25" customHeight="1" x14ac:dyDescent="0.3">
      <c r="B58" s="53" t="s">
        <v>143</v>
      </c>
      <c r="C58" s="53" t="s">
        <v>453</v>
      </c>
      <c r="D58" s="53" t="s">
        <v>650</v>
      </c>
      <c r="E58" s="53" t="s">
        <v>720</v>
      </c>
      <c r="F58" s="53" t="s">
        <v>721</v>
      </c>
      <c r="G58" s="53" t="s">
        <v>608</v>
      </c>
      <c r="H58" s="53" t="s">
        <v>651</v>
      </c>
      <c r="I58" s="53" t="s">
        <v>722</v>
      </c>
    </row>
    <row r="59" spans="2:9" ht="14.25" customHeight="1" x14ac:dyDescent="0.3">
      <c r="B59" s="37" t="s">
        <v>723</v>
      </c>
      <c r="C59" s="37" t="s">
        <v>724</v>
      </c>
      <c r="D59" s="37" t="s">
        <v>270</v>
      </c>
      <c r="E59" s="37" t="s">
        <v>725</v>
      </c>
      <c r="F59" s="105">
        <v>530</v>
      </c>
      <c r="G59" s="35">
        <v>11.5</v>
      </c>
      <c r="H59" s="35">
        <v>3.2</v>
      </c>
      <c r="I59" s="36" t="s">
        <v>726</v>
      </c>
    </row>
    <row r="60" spans="2:9" ht="37.5" customHeight="1" x14ac:dyDescent="0.3">
      <c r="B60" s="37" t="s">
        <v>727</v>
      </c>
      <c r="C60" s="37" t="s">
        <v>728</v>
      </c>
      <c r="D60" s="37" t="s">
        <v>729</v>
      </c>
      <c r="E60" s="37" t="s">
        <v>730</v>
      </c>
      <c r="F60" s="106">
        <v>68700</v>
      </c>
      <c r="G60" s="37">
        <v>20.2</v>
      </c>
      <c r="H60" s="37">
        <v>7.6</v>
      </c>
      <c r="I60" s="54" t="s">
        <v>731</v>
      </c>
    </row>
    <row r="61" spans="2:9" ht="14.25" customHeight="1" x14ac:dyDescent="0.3">
      <c r="B61" s="37" t="s">
        <v>732</v>
      </c>
      <c r="C61" s="37" t="s">
        <v>733</v>
      </c>
      <c r="D61" s="37" t="s">
        <v>734</v>
      </c>
      <c r="E61" s="37" t="s">
        <v>735</v>
      </c>
      <c r="F61" s="106">
        <v>12700</v>
      </c>
      <c r="G61" s="37">
        <v>19.5</v>
      </c>
      <c r="H61" s="37">
        <v>4.5</v>
      </c>
      <c r="I61" s="36" t="s">
        <v>736</v>
      </c>
    </row>
    <row r="62" spans="2:9" ht="55.5" customHeight="1" x14ac:dyDescent="0.3">
      <c r="B62" s="37" t="s">
        <v>737</v>
      </c>
      <c r="C62" s="37" t="s">
        <v>738</v>
      </c>
      <c r="D62" s="37" t="s">
        <v>739</v>
      </c>
      <c r="E62" s="37" t="s">
        <v>740</v>
      </c>
      <c r="F62" s="106">
        <v>2800</v>
      </c>
      <c r="G62" s="107">
        <v>15.9</v>
      </c>
      <c r="H62" s="37">
        <v>3.3</v>
      </c>
      <c r="I62" s="54" t="s">
        <v>741</v>
      </c>
    </row>
    <row r="63" spans="2:9" ht="37.5" customHeight="1" x14ac:dyDescent="0.3">
      <c r="B63" s="37" t="s">
        <v>742</v>
      </c>
      <c r="C63" s="37" t="s">
        <v>743</v>
      </c>
      <c r="D63" s="37" t="s">
        <v>744</v>
      </c>
      <c r="E63" s="37" t="s">
        <v>745</v>
      </c>
      <c r="F63" s="106">
        <v>3600</v>
      </c>
      <c r="G63" s="37"/>
      <c r="H63" s="37">
        <v>4.0999999999999996</v>
      </c>
      <c r="I63" s="54" t="s">
        <v>746</v>
      </c>
    </row>
    <row r="64" spans="2:9" ht="55.5" customHeight="1" x14ac:dyDescent="0.3">
      <c r="B64" s="37" t="s">
        <v>658</v>
      </c>
      <c r="C64" s="37" t="s">
        <v>659</v>
      </c>
      <c r="D64" s="37" t="s">
        <v>661</v>
      </c>
      <c r="E64" s="37" t="s">
        <v>740</v>
      </c>
      <c r="F64" s="106">
        <v>1200</v>
      </c>
      <c r="G64" s="107">
        <v>29.8</v>
      </c>
      <c r="H64" s="37">
        <v>8.44</v>
      </c>
      <c r="I64" s="54" t="s">
        <v>747</v>
      </c>
    </row>
    <row r="66" spans="2:4" ht="14.25" customHeight="1" x14ac:dyDescent="0.3">
      <c r="B66" s="53" t="s">
        <v>748</v>
      </c>
    </row>
    <row r="67" spans="2:4" ht="14.25" customHeight="1" x14ac:dyDescent="0.3">
      <c r="B67" s="34" t="s">
        <v>683</v>
      </c>
      <c r="C67" s="34" t="s">
        <v>608</v>
      </c>
      <c r="D67" s="34" t="s">
        <v>573</v>
      </c>
    </row>
    <row r="68" spans="2:4" ht="14.25" customHeight="1" x14ac:dyDescent="0.3">
      <c r="B68" s="57" t="s">
        <v>749</v>
      </c>
      <c r="C68" s="57">
        <f>AVERAGE(G59:G64)</f>
        <v>19.380000000000003</v>
      </c>
      <c r="D68" s="57">
        <f>AVERAGE(H59:H64)</f>
        <v>5.19</v>
      </c>
    </row>
    <row r="69" spans="2:4" ht="14.25" customHeight="1" x14ac:dyDescent="0.3">
      <c r="B69" s="57" t="s">
        <v>750</v>
      </c>
      <c r="C69" s="57">
        <f>MEDIAN(G59:G64)</f>
        <v>19.5</v>
      </c>
      <c r="D69" s="57">
        <f>MEDIAN(H59:H64)</f>
        <v>4.3</v>
      </c>
    </row>
    <row r="70" spans="2:4" ht="14.25" customHeight="1" x14ac:dyDescent="0.3">
      <c r="B70" s="57" t="s">
        <v>751</v>
      </c>
      <c r="C70" s="57">
        <f>MEDIAN(G60:G64)</f>
        <v>19.850000000000001</v>
      </c>
      <c r="D70" s="57">
        <f>MEDIAN(H60:H64)</f>
        <v>4.5</v>
      </c>
    </row>
    <row r="71" spans="2:4" ht="14.25" customHeight="1" x14ac:dyDescent="0.3">
      <c r="B71" s="57" t="s">
        <v>570</v>
      </c>
      <c r="C71" s="57">
        <f>PERCENTILE(G59:G64,0.25)</f>
        <v>15.9</v>
      </c>
      <c r="D71" s="57">
        <f>PERCENTILE(H59:H64,0.25)</f>
        <v>3.5</v>
      </c>
    </row>
    <row r="72" spans="2:4" ht="14.25" customHeight="1" x14ac:dyDescent="0.3">
      <c r="B72" s="57" t="s">
        <v>571</v>
      </c>
      <c r="C72" s="57">
        <f>PERCENTILE(G59:G64,0.75)</f>
        <v>20.2</v>
      </c>
      <c r="D72" s="57">
        <f>PERCENTILE(H59:H64,0.75)</f>
        <v>6.8249999999999993</v>
      </c>
    </row>
    <row r="74" spans="2:4" ht="14.25" customHeight="1" x14ac:dyDescent="0.3">
      <c r="B74" s="53" t="s">
        <v>752</v>
      </c>
    </row>
    <row r="75" spans="2:4" ht="14.25" customHeight="1" x14ac:dyDescent="0.3">
      <c r="B75" s="57" t="s">
        <v>753</v>
      </c>
      <c r="C75" s="57">
        <f>C69*75</f>
        <v>1462.5</v>
      </c>
      <c r="D75" s="36" t="s">
        <v>492</v>
      </c>
    </row>
    <row r="76" spans="2:4" ht="14.25" customHeight="1" x14ac:dyDescent="0.3">
      <c r="B76" s="57" t="s">
        <v>754</v>
      </c>
      <c r="C76" s="57">
        <f>C69*56.4</f>
        <v>1099.8</v>
      </c>
      <c r="D76" s="36" t="s">
        <v>492</v>
      </c>
    </row>
    <row r="77" spans="2:4" ht="14.25" customHeight="1" x14ac:dyDescent="0.3">
      <c r="B77" s="57" t="s">
        <v>755</v>
      </c>
      <c r="C77" s="57">
        <f>D69*188.8</f>
        <v>811.84</v>
      </c>
      <c r="D77" s="36" t="s">
        <v>492</v>
      </c>
    </row>
    <row r="78" spans="2:4" ht="14.25" customHeight="1" x14ac:dyDescent="0.3">
      <c r="B78" s="34" t="s">
        <v>53</v>
      </c>
      <c r="C78" s="108">
        <v>1136</v>
      </c>
      <c r="D78" s="36" t="s">
        <v>492</v>
      </c>
    </row>
    <row r="80" spans="2:4" ht="14.25" customHeight="1" x14ac:dyDescent="0.3">
      <c r="B80" s="53" t="s">
        <v>756</v>
      </c>
    </row>
    <row r="81" spans="2:2" ht="14.25" customHeight="1" x14ac:dyDescent="0.3">
      <c r="B81" s="36" t="s">
        <v>757</v>
      </c>
    </row>
  </sheetData>
  <mergeCells count="12">
    <mergeCell ref="B14:I14"/>
    <mergeCell ref="B45:I45"/>
    <mergeCell ref="B46:I46"/>
    <mergeCell ref="B49:I49"/>
    <mergeCell ref="B50:I50"/>
    <mergeCell ref="B26:I26"/>
    <mergeCell ref="B52:I52"/>
    <mergeCell ref="B53:I53"/>
    <mergeCell ref="B48:I48"/>
    <mergeCell ref="B25:I25"/>
    <mergeCell ref="B47:I47"/>
    <mergeCell ref="B51:I51"/>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548235"/>
  </sheetPr>
  <dimension ref="B1:G85"/>
  <sheetViews>
    <sheetView zoomScaleNormal="100" workbookViewId="0"/>
  </sheetViews>
  <sheetFormatPr defaultColWidth="8.6640625" defaultRowHeight="14.4" x14ac:dyDescent="0.3"/>
  <cols>
    <col min="1" max="1" width="3" customWidth="1"/>
    <col min="2" max="2" width="40" customWidth="1"/>
    <col min="3" max="8" width="16" customWidth="1"/>
    <col min="9" max="9" width="52" customWidth="1"/>
  </cols>
  <sheetData>
    <row r="1" spans="2:4" ht="17.25" customHeight="1" x14ac:dyDescent="0.3">
      <c r="B1" s="28" t="s">
        <v>758</v>
      </c>
    </row>
    <row r="2" spans="2:4" ht="15" customHeight="1" x14ac:dyDescent="0.3">
      <c r="B2" s="38" t="s">
        <v>759</v>
      </c>
    </row>
    <row r="5" spans="2:4" ht="15" customHeight="1" x14ac:dyDescent="0.3">
      <c r="B5" s="195" t="s">
        <v>760</v>
      </c>
      <c r="C5" s="198"/>
      <c r="D5" s="196"/>
    </row>
    <row r="6" spans="2:4" ht="15" customHeight="1" x14ac:dyDescent="0.3">
      <c r="B6" s="30" t="s">
        <v>761</v>
      </c>
      <c r="C6" s="109">
        <v>149</v>
      </c>
      <c r="D6" s="32" t="s">
        <v>762</v>
      </c>
    </row>
    <row r="7" spans="2:4" ht="15" customHeight="1" x14ac:dyDescent="0.3">
      <c r="B7" s="30" t="s">
        <v>763</v>
      </c>
      <c r="C7" s="109">
        <v>44.4</v>
      </c>
      <c r="D7" s="32" t="s">
        <v>764</v>
      </c>
    </row>
    <row r="8" spans="2:4" ht="15" customHeight="1" x14ac:dyDescent="0.3">
      <c r="B8" s="30" t="s">
        <v>765</v>
      </c>
      <c r="C8" s="109">
        <v>59.4</v>
      </c>
      <c r="D8" s="32" t="s">
        <v>766</v>
      </c>
    </row>
    <row r="9" spans="2:4" ht="15" customHeight="1" x14ac:dyDescent="0.3">
      <c r="B9" s="30" t="s">
        <v>767</v>
      </c>
      <c r="C9" s="110">
        <v>0.08</v>
      </c>
      <c r="D9" s="32" t="s">
        <v>768</v>
      </c>
    </row>
    <row r="10" spans="2:4" ht="15" customHeight="1" x14ac:dyDescent="0.3">
      <c r="B10" s="30" t="s">
        <v>769</v>
      </c>
      <c r="C10" s="110">
        <v>0.05</v>
      </c>
      <c r="D10" s="32" t="s">
        <v>770</v>
      </c>
    </row>
    <row r="11" spans="2:4" ht="15" customHeight="1" x14ac:dyDescent="0.3">
      <c r="B11" s="30" t="s">
        <v>771</v>
      </c>
      <c r="C11" s="110">
        <v>0.4</v>
      </c>
      <c r="D11" s="32" t="s">
        <v>772</v>
      </c>
    </row>
    <row r="12" spans="2:4" ht="15" customHeight="1" x14ac:dyDescent="0.3">
      <c r="B12" s="30" t="s">
        <v>773</v>
      </c>
      <c r="C12" s="110">
        <v>4.8000000000000001E-2</v>
      </c>
      <c r="D12" s="32" t="s">
        <v>774</v>
      </c>
    </row>
    <row r="13" spans="2:4" ht="15" customHeight="1" x14ac:dyDescent="0.3">
      <c r="B13" s="30" t="s">
        <v>775</v>
      </c>
      <c r="C13" s="110">
        <v>0.25</v>
      </c>
      <c r="D13" s="32" t="s">
        <v>776</v>
      </c>
    </row>
    <row r="14" spans="2:4" ht="15" customHeight="1" x14ac:dyDescent="0.3">
      <c r="B14" s="30" t="s">
        <v>777</v>
      </c>
      <c r="C14" s="110">
        <v>4.4999999999999998E-2</v>
      </c>
      <c r="D14" s="32" t="s">
        <v>778</v>
      </c>
    </row>
    <row r="15" spans="2:4" ht="15" customHeight="1" x14ac:dyDescent="0.3">
      <c r="B15" s="30" t="s">
        <v>779</v>
      </c>
      <c r="C15" s="110">
        <v>0.05</v>
      </c>
      <c r="D15" s="32" t="s">
        <v>780</v>
      </c>
    </row>
    <row r="16" spans="2:4" ht="15" customHeight="1" x14ac:dyDescent="0.3">
      <c r="B16" s="30" t="s">
        <v>781</v>
      </c>
      <c r="C16" s="110">
        <v>0.1</v>
      </c>
      <c r="D16" s="32" t="s">
        <v>782</v>
      </c>
    </row>
    <row r="17" spans="2:7" ht="15" customHeight="1" x14ac:dyDescent="0.3">
      <c r="B17" s="30" t="s">
        <v>783</v>
      </c>
      <c r="C17" s="110">
        <v>2.5000000000000001E-2</v>
      </c>
      <c r="D17" s="32" t="s">
        <v>784</v>
      </c>
    </row>
    <row r="19" spans="2:7" ht="15" customHeight="1" x14ac:dyDescent="0.3">
      <c r="B19" s="195" t="s">
        <v>785</v>
      </c>
      <c r="C19" s="198"/>
      <c r="D19" s="198"/>
      <c r="E19" s="198"/>
      <c r="F19" s="196"/>
    </row>
    <row r="20" spans="2:7" ht="15" customHeight="1" x14ac:dyDescent="0.3">
      <c r="B20" s="44"/>
      <c r="C20" s="44" t="s">
        <v>786</v>
      </c>
      <c r="D20" s="44" t="s">
        <v>787</v>
      </c>
      <c r="E20" s="44" t="s">
        <v>788</v>
      </c>
      <c r="F20" s="44" t="s">
        <v>789</v>
      </c>
      <c r="G20" s="44" t="s">
        <v>790</v>
      </c>
    </row>
    <row r="21" spans="2:7" ht="15" customHeight="1" x14ac:dyDescent="0.3">
      <c r="B21" s="39" t="s">
        <v>791</v>
      </c>
      <c r="C21" s="111">
        <f>C6*(1+C9)</f>
        <v>160.92000000000002</v>
      </c>
      <c r="D21" s="111">
        <f>C21*(1+C9)</f>
        <v>173.79360000000003</v>
      </c>
      <c r="E21" s="111">
        <f>D21*(1+C10)</f>
        <v>182.48328000000004</v>
      </c>
      <c r="F21" s="111">
        <f>E21*(1+C10)</f>
        <v>191.60744400000004</v>
      </c>
      <c r="G21" s="111">
        <f>F21*(1+C10)</f>
        <v>201.18781620000004</v>
      </c>
    </row>
    <row r="22" spans="2:7" ht="15" customHeight="1" x14ac:dyDescent="0.3">
      <c r="B22" s="39" t="s">
        <v>402</v>
      </c>
      <c r="C22" s="111">
        <f>C21*C11</f>
        <v>64.368000000000009</v>
      </c>
      <c r="D22" s="111">
        <f>D21*C11</f>
        <v>69.517440000000008</v>
      </c>
      <c r="E22" s="111">
        <f>E21*C11</f>
        <v>72.993312000000017</v>
      </c>
      <c r="F22" s="111">
        <f>F21*C11</f>
        <v>76.642977600000023</v>
      </c>
      <c r="G22" s="111">
        <f>G21*C11</f>
        <v>80.475126480000029</v>
      </c>
    </row>
    <row r="23" spans="2:7" ht="15" customHeight="1" x14ac:dyDescent="0.3">
      <c r="B23" s="30" t="s">
        <v>792</v>
      </c>
      <c r="C23" s="111">
        <f>-C21*C12</f>
        <v>-7.7241600000000012</v>
      </c>
      <c r="D23" s="111">
        <f>-D21*C12</f>
        <v>-8.3420928000000014</v>
      </c>
      <c r="E23" s="111">
        <f>-E21*C12</f>
        <v>-8.7591974400000012</v>
      </c>
      <c r="F23" s="111">
        <f>-F21*C12</f>
        <v>-9.1971573120000016</v>
      </c>
      <c r="G23" s="111">
        <f>-G21*C12</f>
        <v>-9.6570151776000017</v>
      </c>
    </row>
    <row r="24" spans="2:7" ht="15" customHeight="1" x14ac:dyDescent="0.3">
      <c r="B24" s="39" t="s">
        <v>403</v>
      </c>
      <c r="C24" s="111">
        <f>C22+C23</f>
        <v>56.643840000000012</v>
      </c>
      <c r="D24" s="111">
        <f>D22+D23</f>
        <v>61.175347200000004</v>
      </c>
      <c r="E24" s="111">
        <f>E22+E23</f>
        <v>64.234114560000023</v>
      </c>
      <c r="F24" s="111">
        <f>F22+F23</f>
        <v>67.445820288000021</v>
      </c>
      <c r="G24" s="111">
        <f>G22+G23</f>
        <v>70.818111302400027</v>
      </c>
    </row>
    <row r="25" spans="2:7" ht="15" customHeight="1" x14ac:dyDescent="0.3">
      <c r="B25" s="30" t="s">
        <v>793</v>
      </c>
      <c r="C25" s="111">
        <f>-C24*C13</f>
        <v>-14.160960000000003</v>
      </c>
      <c r="D25" s="111">
        <f>-D24*C13</f>
        <v>-15.293836800000001</v>
      </c>
      <c r="E25" s="111">
        <f>-E24*C13</f>
        <v>-16.058528640000006</v>
      </c>
      <c r="F25" s="111">
        <f>-F24*C13</f>
        <v>-16.861455072000005</v>
      </c>
      <c r="G25" s="111">
        <f>-G24*C13</f>
        <v>-17.704527825600007</v>
      </c>
    </row>
    <row r="26" spans="2:7" ht="15" customHeight="1" x14ac:dyDescent="0.3">
      <c r="B26" s="39" t="s">
        <v>794</v>
      </c>
      <c r="C26" s="111">
        <f>C24+C25</f>
        <v>42.482880000000009</v>
      </c>
      <c r="D26" s="111">
        <f>D24+D25</f>
        <v>45.881510400000003</v>
      </c>
      <c r="E26" s="111">
        <f>E24+E25</f>
        <v>48.175585920000017</v>
      </c>
      <c r="F26" s="111">
        <f>F24+F25</f>
        <v>50.584365216000016</v>
      </c>
      <c r="G26" s="111">
        <f>G24+G25</f>
        <v>53.113583476800017</v>
      </c>
    </row>
    <row r="27" spans="2:7" ht="15" customHeight="1" x14ac:dyDescent="0.3">
      <c r="B27" s="30" t="s">
        <v>795</v>
      </c>
      <c r="C27" s="111">
        <f>-C23</f>
        <v>7.7241600000000012</v>
      </c>
      <c r="D27" s="111">
        <f>-D23</f>
        <v>8.3420928000000014</v>
      </c>
      <c r="E27" s="111">
        <f>-E23</f>
        <v>8.7591974400000012</v>
      </c>
      <c r="F27" s="111">
        <f>-F23</f>
        <v>9.1971573120000016</v>
      </c>
      <c r="G27" s="111">
        <f>-G23</f>
        <v>9.6570151776000017</v>
      </c>
    </row>
    <row r="28" spans="2:7" ht="15" customHeight="1" x14ac:dyDescent="0.3">
      <c r="B28" s="30" t="s">
        <v>796</v>
      </c>
      <c r="C28" s="111">
        <f>-C21*C14</f>
        <v>-7.2414000000000005</v>
      </c>
      <c r="D28" s="111">
        <f>-D21*C14</f>
        <v>-7.8207120000000012</v>
      </c>
      <c r="E28" s="111">
        <f>-E21*C14</f>
        <v>-8.2117476000000007</v>
      </c>
      <c r="F28" s="111">
        <f>-F21*C14</f>
        <v>-8.6223349800000015</v>
      </c>
      <c r="G28" s="111">
        <f>-G21*C14</f>
        <v>-9.0534517290000007</v>
      </c>
    </row>
    <row r="29" spans="2:7" ht="15" customHeight="1" x14ac:dyDescent="0.3">
      <c r="B29" s="30" t="s">
        <v>797</v>
      </c>
      <c r="C29" s="111">
        <f>-(C21-C6)*C15</f>
        <v>-0.59600000000000086</v>
      </c>
      <c r="D29" s="111">
        <f>-(D21-C21)*C15</f>
        <v>-0.64368000000000059</v>
      </c>
      <c r="E29" s="111">
        <f>-(E21-D21)*C15</f>
        <v>-0.43448400000000054</v>
      </c>
      <c r="F29" s="111">
        <f>-(F21-E21)*C15</f>
        <v>-0.4562082000000004</v>
      </c>
      <c r="G29" s="111">
        <f>-(G21-F21)*C15</f>
        <v>-0.47901861000000001</v>
      </c>
    </row>
    <row r="30" spans="2:7" ht="15" customHeight="1" x14ac:dyDescent="0.3">
      <c r="B30" s="39" t="s">
        <v>798</v>
      </c>
      <c r="C30" s="112">
        <f>C26+C27+C28+C29</f>
        <v>42.369640000000004</v>
      </c>
      <c r="D30" s="112">
        <f>D26+D27+D28+D29</f>
        <v>45.759211200000003</v>
      </c>
      <c r="E30" s="112">
        <f>E26+E27+E28+E29</f>
        <v>48.288551760000018</v>
      </c>
      <c r="F30" s="112">
        <f>F26+F27+F28+F29</f>
        <v>50.702979348000021</v>
      </c>
      <c r="G30" s="112">
        <f>G26+G27+G28+G29</f>
        <v>53.238128315400019</v>
      </c>
    </row>
    <row r="31" spans="2:7" ht="15" customHeight="1" x14ac:dyDescent="0.3">
      <c r="B31" s="30" t="s">
        <v>799</v>
      </c>
      <c r="C31" s="113">
        <f>1/(1+C16)^1</f>
        <v>0.90909090909090906</v>
      </c>
      <c r="D31" s="113">
        <f>1/(1+C16)^2</f>
        <v>0.82644628099173545</v>
      </c>
      <c r="E31" s="113">
        <f>1/(1+C16)^3</f>
        <v>0.75131480090157754</v>
      </c>
      <c r="F31" s="113">
        <f>1/(1+C16)^4</f>
        <v>0.68301345536507052</v>
      </c>
      <c r="G31" s="113">
        <f>1/(1+C16)^5</f>
        <v>0.62092132305915493</v>
      </c>
    </row>
    <row r="32" spans="2:7" ht="15" customHeight="1" x14ac:dyDescent="0.3">
      <c r="B32" s="39" t="s">
        <v>800</v>
      </c>
      <c r="C32" s="112">
        <f>C30*C31</f>
        <v>38.517854545454547</v>
      </c>
      <c r="D32" s="112">
        <f>D30*D31</f>
        <v>37.817529917355373</v>
      </c>
      <c r="E32" s="112">
        <f>E30*E31</f>
        <v>36.279903651389937</v>
      </c>
      <c r="F32" s="112">
        <f>F30*F31</f>
        <v>34.630817121781305</v>
      </c>
      <c r="G32" s="112">
        <f>G30*G31</f>
        <v>33.056689070791236</v>
      </c>
    </row>
    <row r="34" spans="2:7" ht="15" customHeight="1" x14ac:dyDescent="0.3">
      <c r="B34" s="195" t="s">
        <v>801</v>
      </c>
      <c r="C34" s="198"/>
      <c r="D34" s="196"/>
    </row>
    <row r="35" spans="2:7" ht="15" customHeight="1" x14ac:dyDescent="0.3">
      <c r="B35" s="39" t="s">
        <v>802</v>
      </c>
      <c r="C35" s="114">
        <f>G30*(1+C17)/(C16-C17)</f>
        <v>727.58775364380006</v>
      </c>
      <c r="D35" s="32" t="s">
        <v>803</v>
      </c>
    </row>
    <row r="36" spans="2:7" ht="15" customHeight="1" x14ac:dyDescent="0.3">
      <c r="B36" s="39" t="s">
        <v>804</v>
      </c>
      <c r="C36" s="114">
        <f>C35*G31</f>
        <v>451.77475063414681</v>
      </c>
    </row>
    <row r="37" spans="2:7" ht="15" customHeight="1" x14ac:dyDescent="0.3">
      <c r="B37" s="39" t="s">
        <v>805</v>
      </c>
      <c r="C37" s="114">
        <f>SUM(C32:G32)</f>
        <v>180.30279430677237</v>
      </c>
    </row>
    <row r="38" spans="2:7" ht="15" customHeight="1" x14ac:dyDescent="0.3">
      <c r="B38" s="115" t="s">
        <v>806</v>
      </c>
      <c r="C38" s="116">
        <f>C36+C37</f>
        <v>632.07754494091921</v>
      </c>
    </row>
    <row r="39" spans="2:7" ht="15" customHeight="1" x14ac:dyDescent="0.3">
      <c r="B39" s="30" t="s">
        <v>807</v>
      </c>
      <c r="C39" s="117">
        <f>C36/C38</f>
        <v>0.71474576853758431</v>
      </c>
    </row>
    <row r="40" spans="2:7" ht="15" customHeight="1" x14ac:dyDescent="0.3">
      <c r="B40" s="30" t="s">
        <v>808</v>
      </c>
      <c r="C40" s="118">
        <f>C38/C8</f>
        <v>10.641036110116485</v>
      </c>
    </row>
    <row r="41" spans="2:7" ht="15" customHeight="1" x14ac:dyDescent="0.3">
      <c r="B41" s="30" t="s">
        <v>809</v>
      </c>
      <c r="C41" s="119">
        <v>900</v>
      </c>
      <c r="D41" s="32" t="s">
        <v>810</v>
      </c>
    </row>
    <row r="43" spans="2:7" ht="15" customHeight="1" x14ac:dyDescent="0.3">
      <c r="B43" s="195" t="s">
        <v>811</v>
      </c>
      <c r="C43" s="198"/>
      <c r="D43" s="198"/>
      <c r="E43" s="198"/>
      <c r="F43" s="198"/>
      <c r="G43" s="196"/>
    </row>
    <row r="44" spans="2:7" ht="15" customHeight="1" x14ac:dyDescent="0.3">
      <c r="B44" s="44" t="s">
        <v>812</v>
      </c>
      <c r="C44" s="120">
        <v>1.4999999999999999E-2</v>
      </c>
      <c r="D44" s="120">
        <v>0.02</v>
      </c>
      <c r="E44" s="120">
        <v>2.5000000000000001E-2</v>
      </c>
      <c r="F44" s="120">
        <v>0.03</v>
      </c>
      <c r="G44" s="120">
        <v>3.5000000000000003E-2</v>
      </c>
    </row>
    <row r="45" spans="2:7" ht="15" customHeight="1" x14ac:dyDescent="0.3">
      <c r="B45" s="121">
        <v>0.08</v>
      </c>
      <c r="C45" s="76">
        <f>C30/(1+$B45)^1+D30/(1+$B45)^2+E30/(1+$B45)^3+F30/(1+$B45)^4+G30/(1+$B45)^5+G30*(1+C$44)/($B45-C$44)/(1+$B45)^5</f>
        <v>756.08833390709083</v>
      </c>
      <c r="D45" s="76">
        <f>C30/(1+$B45)^1+D30/(1+$B45)^2+E30/(1+$B45)^3+F30/(1+$B45)^4+G30/(1+$B45)^5+G30*(1+D$44)/($B45-D$44)/(1+$B45)^5</f>
        <v>806.25706931584364</v>
      </c>
      <c r="E45" s="76">
        <f>C30/(1+$B45)^1+D30/(1+$B45)^2+E30/(1+$B45)^3+F30/(1+$B45)^4+G30/(1+$B45)^5+G30*(1+E$44)/($B45-E$44)/(1+$B45)^5</f>
        <v>865.54739298073332</v>
      </c>
      <c r="F45" s="76">
        <f>C30/(1+$B45)^1+D30/(1+$B45)^2+E30/(1+$B45)^3+F30/(1+$B45)^4+G30/(1+$B45)^5+G30*(1+F$44)/($B45-F$44)/(1+$B45)^5</f>
        <v>936.69578137860083</v>
      </c>
      <c r="G45" s="76">
        <f>C30/(1+$B45)^1+D30/(1+$B45)^2+E30/(1+$B45)^3+F30/(1+$B45)^4+G30/(1+$B45)^5+G30*(1+G$44)/($B45-G$44)/(1+$B45)^5</f>
        <v>1023.6549227537724</v>
      </c>
    </row>
    <row r="46" spans="2:7" ht="15" customHeight="1" x14ac:dyDescent="0.3">
      <c r="B46" s="121">
        <v>0.09</v>
      </c>
      <c r="C46" s="76">
        <f>C30/(1+$B46)^1+D30/(1+$B46)^2+E30/(1+$B46)^3+F30/(1+$B46)^4+G30/(1+$B46)^5+G30*(1+C$44)/($B46-C$44)/(1+$B46)^5</f>
        <v>653.46249657126089</v>
      </c>
      <c r="D46" s="76">
        <f>C30/(1+$B46)^1+D30/(1+$B46)^2+E30/(1+$B46)^3+F30/(1+$B46)^4+G30/(1+$B46)^5+G30*(1+D$44)/($B46-D$44)/(1+$B46)^5</f>
        <v>689.38176541750215</v>
      </c>
      <c r="E46" s="76">
        <f>C30/(1+$B46)^1+D30/(1+$B46)^2+E30/(1+$B46)^3+F30/(1+$B46)^4+G30/(1+$B46)^5+G30*(1+E$44)/($B46-E$44)/(1+$B46)^5</f>
        <v>730.82707562470353</v>
      </c>
      <c r="F46" s="76">
        <f>C30/(1+$B46)^1+D30/(1+$B46)^2+E30/(1+$B46)^3+F30/(1+$B46)^4+G30/(1+$B46)^5+G30*(1+F$44)/($B46-F$44)/(1+$B46)^5</f>
        <v>779.1799375331052</v>
      </c>
      <c r="G46" s="76">
        <f>C30/(1+$B46)^1+D30/(1+$B46)^2+E30/(1+$B46)^3+F30/(1+$B46)^4+G30/(1+$B46)^5+G30*(1+G$44)/($B46-G$44)/(1+$B46)^5</f>
        <v>836.32422887939799</v>
      </c>
    </row>
    <row r="47" spans="2:7" ht="15" customHeight="1" x14ac:dyDescent="0.3">
      <c r="B47" s="121">
        <v>0.1</v>
      </c>
      <c r="C47" s="76">
        <f>C30/(1+$B47)^1+D30/(1+$B47)^2+E30/(1+$B47)^3+F30/(1+$B47)^4+G30/(1+$B47)^5+G30*(1+C$44)/($B47-C$44)/(1+$B47)^5</f>
        <v>575.03855203445585</v>
      </c>
      <c r="D47" s="76">
        <f>C30/(1+$B47)^1+D30/(1+$B47)^2+E30/(1+$B47)^3+F30/(1+$B47)^4+G30/(1+$B47)^5+G30*(1+D$44)/($B47-D$44)/(1+$B47)^5</f>
        <v>601.7755799593607</v>
      </c>
      <c r="E47" s="122">
        <f>C30/(1+$B47)^1+D30/(1+$B47)^2+E30/(1+$B47)^3+F30/(1+$B47)^4+G30/(1+$B47)^5+G30*(1+E$44)/($B47-E$44)/(1+$B47)^5</f>
        <v>632.07754494091921</v>
      </c>
      <c r="F47" s="76">
        <f>C30/(1+$B47)^1+D30/(1+$B47)^2+E30/(1+$B47)^3+F30/(1+$B47)^4+G30/(1+$B47)^5+G30*(1+F$44)/($B47-F$44)/(1+$B47)^5</f>
        <v>666.70836206270053</v>
      </c>
      <c r="G47" s="76">
        <f>C30/(1+$B47)^1+D30/(1+$B47)^2+E30/(1+$B47)^3+F30/(1+$B47)^4+G30/(1+$B47)^5+G30*(1+G$44)/($B47-G$44)/(1+$B47)^5</f>
        <v>706.66699720321742</v>
      </c>
    </row>
    <row r="48" spans="2:7" ht="15" customHeight="1" x14ac:dyDescent="0.3">
      <c r="B48" s="121">
        <v>0.11</v>
      </c>
      <c r="C48" s="76">
        <f>C30/(1+$B48)^1+D30/(1+$B48)^2+E30/(1+$B48)^3+F30/(1+$B48)^4+G30/(1+$B48)^5+G30*(1+C$44)/($B48-C$44)/(1+$B48)^5</f>
        <v>513.1715726758556</v>
      </c>
      <c r="D48" s="76">
        <f>C30/(1+$B48)^1+D30/(1+$B48)^2+E30/(1+$B48)^3+F30/(1+$B48)^4+G30/(1+$B48)^5+G30*(1+D$44)/($B48-D$44)/(1+$B48)^5</f>
        <v>533.68011310092004</v>
      </c>
      <c r="E48" s="76">
        <f>C30/(1+$B48)^1+D30/(1+$B48)^2+E30/(1+$B48)^3+F30/(1+$B48)^4+G30/(1+$B48)^5+G30*(1+E$44)/($B48-E$44)/(1+$B48)^5</f>
        <v>556.60142298775668</v>
      </c>
      <c r="F48" s="76">
        <f>C30/(1+$B48)^1+D30/(1+$B48)^2+E30/(1+$B48)^3+F30/(1+$B48)^4+G30/(1+$B48)^5+G30*(1+F$44)/($B48-F$44)/(1+$B48)^5</f>
        <v>582.38789661044768</v>
      </c>
      <c r="G48" s="76">
        <f>C30/(1+$B48)^1+D30/(1+$B48)^2+E30/(1+$B48)^3+F30/(1+$B48)^4+G30/(1+$B48)^5+G30*(1+G$44)/($B48-G$44)/(1+$B48)^5</f>
        <v>611.61256671616445</v>
      </c>
    </row>
    <row r="49" spans="2:7" ht="15" customHeight="1" x14ac:dyDescent="0.3">
      <c r="B49" s="121">
        <v>0.12</v>
      </c>
      <c r="C49" s="76">
        <f>C30/(1+$B49)^1+D30/(1+$B49)^2+E30/(1+$B49)^3+F30/(1+$B49)^4+G30/(1+$B49)^5+G30*(1+C$44)/($B49-C$44)/(1+$B49)^5</f>
        <v>463.12909611382213</v>
      </c>
      <c r="D49" s="76">
        <f>C30/(1+$B49)^1+D30/(1+$B49)^2+E30/(1+$B49)^3+F30/(1+$B49)^4+G30/(1+$B49)^5+G30*(1+D$44)/($B49-D$44)/(1+$B49)^5</f>
        <v>479.24042611614266</v>
      </c>
      <c r="E49" s="76">
        <f>C30/(1+$B49)^1+D30/(1+$B49)^2+E30/(1+$B49)^3+F30/(1+$B49)^4+G30/(1+$B49)^5+G30*(1+E$44)/($B49-E$44)/(1+$B49)^5</f>
        <v>497.04768559239142</v>
      </c>
      <c r="F49" s="76">
        <f>C30/(1+$B49)^1+D30/(1+$B49)^2+E30/(1+$B49)^3+F30/(1+$B49)^4+G30/(1+$B49)^5+G30*(1+F$44)/($B49-F$44)/(1+$B49)^5</f>
        <v>516.83352945489025</v>
      </c>
      <c r="G49" s="76">
        <f>C30/(1+$B49)^1+D30/(1+$B49)^2+E30/(1+$B49)^3+F30/(1+$B49)^4+G30/(1+$B49)^5+G30*(1+G$44)/($B49-G$44)/(1+$B49)^5</f>
        <v>538.94711965415354</v>
      </c>
    </row>
    <row r="52" spans="2:7" ht="14.25" customHeight="1" x14ac:dyDescent="0.3">
      <c r="B52" s="33" t="s">
        <v>813</v>
      </c>
    </row>
    <row r="53" spans="2:7" ht="19.5" customHeight="1" x14ac:dyDescent="0.3">
      <c r="B53" s="207" t="s">
        <v>814</v>
      </c>
      <c r="C53" s="178"/>
      <c r="D53" s="178"/>
      <c r="E53" s="178"/>
      <c r="F53" s="178"/>
    </row>
    <row r="54" spans="2:7" ht="55.5" customHeight="1" x14ac:dyDescent="0.3">
      <c r="B54" s="206" t="s">
        <v>815</v>
      </c>
      <c r="C54" s="178"/>
      <c r="D54" s="178"/>
      <c r="E54" s="178"/>
      <c r="F54" s="178"/>
    </row>
    <row r="55" spans="2:7" ht="72" customHeight="1" x14ac:dyDescent="0.3">
      <c r="B55" s="34" t="s">
        <v>816</v>
      </c>
      <c r="C55" s="206" t="s">
        <v>817</v>
      </c>
      <c r="D55" s="178"/>
      <c r="E55" s="178"/>
      <c r="F55" s="178"/>
    </row>
    <row r="56" spans="2:7" ht="72" customHeight="1" x14ac:dyDescent="0.3">
      <c r="B56" s="34" t="s">
        <v>818</v>
      </c>
      <c r="C56" s="206" t="s">
        <v>819</v>
      </c>
      <c r="D56" s="178"/>
      <c r="E56" s="178"/>
      <c r="F56" s="178"/>
    </row>
    <row r="57" spans="2:7" ht="129.75" customHeight="1" x14ac:dyDescent="0.3">
      <c r="B57" s="34" t="s">
        <v>820</v>
      </c>
      <c r="C57" s="206" t="s">
        <v>821</v>
      </c>
      <c r="D57" s="178"/>
      <c r="E57" s="178"/>
      <c r="F57" s="178"/>
    </row>
    <row r="58" spans="2:7" ht="49.5" customHeight="1" x14ac:dyDescent="0.3">
      <c r="B58" s="34" t="s">
        <v>822</v>
      </c>
      <c r="C58" s="206" t="s">
        <v>823</v>
      </c>
      <c r="D58" s="178"/>
      <c r="E58" s="178"/>
      <c r="F58" s="178"/>
    </row>
    <row r="59" spans="2:7" ht="84" customHeight="1" x14ac:dyDescent="0.3">
      <c r="B59" s="34" t="s">
        <v>824</v>
      </c>
      <c r="C59" s="206" t="s">
        <v>825</v>
      </c>
      <c r="D59" s="178"/>
      <c r="E59" s="178"/>
      <c r="F59" s="178"/>
    </row>
    <row r="60" spans="2:7" ht="84" customHeight="1" x14ac:dyDescent="0.3">
      <c r="B60" s="34" t="s">
        <v>826</v>
      </c>
      <c r="C60" s="206" t="s">
        <v>827</v>
      </c>
      <c r="D60" s="178"/>
      <c r="E60" s="178"/>
      <c r="F60" s="178"/>
    </row>
    <row r="61" spans="2:7" ht="84" customHeight="1" x14ac:dyDescent="0.3">
      <c r="B61" s="34" t="s">
        <v>828</v>
      </c>
      <c r="C61" s="206" t="s">
        <v>829</v>
      </c>
      <c r="D61" s="178"/>
      <c r="E61" s="178"/>
      <c r="F61" s="178"/>
    </row>
    <row r="62" spans="2:7" ht="7.5" customHeight="1" x14ac:dyDescent="0.3"/>
    <row r="63" spans="2:7" ht="19.5" customHeight="1" x14ac:dyDescent="0.3">
      <c r="B63" s="207" t="s">
        <v>830</v>
      </c>
      <c r="C63" s="178"/>
      <c r="D63" s="178"/>
      <c r="E63" s="178"/>
      <c r="F63" s="178"/>
    </row>
    <row r="64" spans="2:7" ht="36" customHeight="1" x14ac:dyDescent="0.3"/>
    <row r="65" spans="2:4" ht="14.25" customHeight="1" x14ac:dyDescent="0.3"/>
    <row r="66" spans="2:4" ht="14.25" customHeight="1" x14ac:dyDescent="0.3"/>
    <row r="67" spans="2:4" ht="14.25" customHeight="1" x14ac:dyDescent="0.3">
      <c r="B67" s="34" t="s">
        <v>831</v>
      </c>
    </row>
    <row r="68" spans="2:4" ht="14.25" customHeight="1" x14ac:dyDescent="0.3">
      <c r="B68" s="57" t="s">
        <v>832</v>
      </c>
      <c r="C68" s="123">
        <v>4.3200000000000002E-2</v>
      </c>
      <c r="D68" s="54" t="s">
        <v>833</v>
      </c>
    </row>
    <row r="69" spans="2:4" ht="14.25" customHeight="1" x14ac:dyDescent="0.3">
      <c r="B69" s="57" t="s">
        <v>834</v>
      </c>
      <c r="C69" s="123">
        <v>5.0099999999999999E-2</v>
      </c>
      <c r="D69" s="54" t="s">
        <v>835</v>
      </c>
    </row>
    <row r="70" spans="2:4" ht="14.25" customHeight="1" x14ac:dyDescent="0.3">
      <c r="B70" s="57" t="s">
        <v>836</v>
      </c>
      <c r="C70" s="124">
        <v>1.02</v>
      </c>
      <c r="D70" s="54" t="s">
        <v>837</v>
      </c>
    </row>
    <row r="71" spans="2:4" ht="14.25" customHeight="1" x14ac:dyDescent="0.3">
      <c r="B71" s="57" t="s">
        <v>838</v>
      </c>
      <c r="C71" s="125">
        <f>1+(1-C13)*(C76/(1-C76))</f>
        <v>1.1875</v>
      </c>
      <c r="D71" s="54" t="s">
        <v>839</v>
      </c>
    </row>
    <row r="72" spans="2:4" ht="153" customHeight="1" x14ac:dyDescent="0.3">
      <c r="B72" s="57" t="s">
        <v>840</v>
      </c>
      <c r="C72" s="126">
        <f>C70*C71</f>
        <v>1.2112499999999999</v>
      </c>
      <c r="D72" s="54" t="s">
        <v>841</v>
      </c>
    </row>
    <row r="73" spans="2:4" ht="27.75" customHeight="1" x14ac:dyDescent="0.3">
      <c r="B73" s="34" t="s">
        <v>842</v>
      </c>
      <c r="C73" s="127">
        <f>C68+C72*C69</f>
        <v>0.10388362500000001</v>
      </c>
      <c r="D73" s="54" t="s">
        <v>843</v>
      </c>
    </row>
    <row r="74" spans="2:4" ht="14.25" customHeight="1" x14ac:dyDescent="0.3">
      <c r="B74" s="57" t="s">
        <v>844</v>
      </c>
      <c r="C74" s="35">
        <v>0.112</v>
      </c>
      <c r="D74" s="36" t="s">
        <v>845</v>
      </c>
    </row>
    <row r="75" spans="2:4" ht="14.25" customHeight="1" x14ac:dyDescent="0.3">
      <c r="B75" s="57" t="s">
        <v>846</v>
      </c>
      <c r="C75" s="128">
        <f>C74*(1-C13)</f>
        <v>8.4000000000000005E-2</v>
      </c>
      <c r="D75" s="36" t="s">
        <v>847</v>
      </c>
    </row>
    <row r="76" spans="2:4" ht="14.25" customHeight="1" x14ac:dyDescent="0.3">
      <c r="B76" s="57" t="s">
        <v>848</v>
      </c>
      <c r="C76" s="129">
        <v>0.2</v>
      </c>
    </row>
    <row r="77" spans="2:4" ht="18.75" customHeight="1" x14ac:dyDescent="0.3">
      <c r="B77" s="34" t="s">
        <v>849</v>
      </c>
      <c r="C77" s="127">
        <f>(1-C76)*C73+C76*C75</f>
        <v>9.9906900000000021E-2</v>
      </c>
      <c r="D77" s="54" t="s">
        <v>850</v>
      </c>
    </row>
    <row r="78" spans="2:4" ht="54.75" customHeight="1" x14ac:dyDescent="0.3">
      <c r="B78" s="54" t="s">
        <v>851</v>
      </c>
    </row>
    <row r="80" spans="2:4" ht="14.25" customHeight="1" x14ac:dyDescent="0.3">
      <c r="B80" s="53" t="s">
        <v>852</v>
      </c>
    </row>
    <row r="81" spans="2:2" ht="14.25" customHeight="1" x14ac:dyDescent="0.3">
      <c r="B81" s="36" t="s">
        <v>853</v>
      </c>
    </row>
    <row r="84" spans="2:2" ht="14.25" customHeight="1" x14ac:dyDescent="0.3">
      <c r="B84" s="34" t="s">
        <v>854</v>
      </c>
    </row>
    <row r="85" spans="2:2" ht="14.25" customHeight="1" x14ac:dyDescent="0.3">
      <c r="B85" s="36" t="s">
        <v>855</v>
      </c>
    </row>
  </sheetData>
  <mergeCells count="14">
    <mergeCell ref="B63:F63"/>
    <mergeCell ref="B43:G43"/>
    <mergeCell ref="C57:F57"/>
    <mergeCell ref="C60:F60"/>
    <mergeCell ref="C55:F55"/>
    <mergeCell ref="C58:F58"/>
    <mergeCell ref="B53:F53"/>
    <mergeCell ref="B5:D5"/>
    <mergeCell ref="C61:F61"/>
    <mergeCell ref="C56:F56"/>
    <mergeCell ref="B54:F54"/>
    <mergeCell ref="B19:F19"/>
    <mergeCell ref="C59:F59"/>
    <mergeCell ref="B34:D34"/>
  </mergeCells>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C00000"/>
  </sheetPr>
  <dimension ref="A1:J225"/>
  <sheetViews>
    <sheetView zoomScaleNormal="100" workbookViewId="0">
      <pane xSplit="1" ySplit="5" topLeftCell="B6" activePane="bottomRight" state="frozen"/>
      <selection pane="topRight" activeCell="B1" sqref="B1"/>
      <selection pane="bottomLeft" activeCell="A6" sqref="A6"/>
      <selection pane="bottomRight"/>
    </sheetView>
  </sheetViews>
  <sheetFormatPr defaultColWidth="8.6640625" defaultRowHeight="14.4" x14ac:dyDescent="0.3"/>
  <cols>
    <col min="1" max="1" width="3" customWidth="1"/>
    <col min="2" max="2" width="50" customWidth="1"/>
    <col min="3" max="9" width="15" customWidth="1"/>
    <col min="10" max="10" width="55" customWidth="1"/>
  </cols>
  <sheetData>
    <row r="1" spans="1:10" ht="17.25" customHeight="1" x14ac:dyDescent="0.3">
      <c r="B1" s="28" t="s">
        <v>856</v>
      </c>
    </row>
    <row r="2" spans="1:10" ht="15" customHeight="1" x14ac:dyDescent="0.3">
      <c r="B2" s="38" t="s">
        <v>857</v>
      </c>
    </row>
    <row r="4" spans="1:10" ht="15" customHeight="1" x14ac:dyDescent="0.3">
      <c r="B4" s="195" t="s">
        <v>858</v>
      </c>
      <c r="C4" s="198"/>
      <c r="D4" s="198"/>
      <c r="E4" s="196"/>
    </row>
    <row r="5" spans="1:10" ht="15" customHeight="1" x14ac:dyDescent="0.3">
      <c r="A5" s="44"/>
      <c r="B5" s="44" t="s">
        <v>859</v>
      </c>
      <c r="C5" s="44" t="s">
        <v>860</v>
      </c>
      <c r="D5" s="44" t="s">
        <v>861</v>
      </c>
      <c r="E5" s="44" t="s">
        <v>862</v>
      </c>
      <c r="F5" s="44" t="s">
        <v>863</v>
      </c>
    </row>
    <row r="6" spans="1:10" ht="15" customHeight="1" x14ac:dyDescent="0.3">
      <c r="B6" s="30" t="s">
        <v>864</v>
      </c>
      <c r="C6" s="130">
        <v>103.4</v>
      </c>
      <c r="D6" s="130">
        <v>130.63</v>
      </c>
      <c r="E6" s="131">
        <f>C6/$C$20</f>
        <v>1.7407407407407409</v>
      </c>
      <c r="F6" s="117">
        <f>C6/C10</f>
        <v>0.1148888888888889</v>
      </c>
      <c r="J6" s="32" t="s">
        <v>865</v>
      </c>
    </row>
    <row r="7" spans="1:10" ht="15" customHeight="1" x14ac:dyDescent="0.3">
      <c r="B7" s="30" t="s">
        <v>866</v>
      </c>
      <c r="C7" s="130">
        <v>28.6</v>
      </c>
      <c r="D7" s="130">
        <v>36.17</v>
      </c>
      <c r="E7" s="131">
        <f>C7/$C$20</f>
        <v>0.48148148148148151</v>
      </c>
      <c r="F7" s="117">
        <f>C7/C10</f>
        <v>3.177777777777778E-2</v>
      </c>
      <c r="J7" s="32" t="s">
        <v>867</v>
      </c>
    </row>
    <row r="8" spans="1:10" ht="15" customHeight="1" x14ac:dyDescent="0.3">
      <c r="B8" s="39" t="s">
        <v>868</v>
      </c>
      <c r="C8" s="132">
        <f>SUM(C6:C7)</f>
        <v>132</v>
      </c>
      <c r="D8" s="132">
        <f>SUM(D6:D7)</f>
        <v>166.8</v>
      </c>
      <c r="E8" s="131">
        <f>C8/$C$20</f>
        <v>2.2222222222222223</v>
      </c>
      <c r="F8" s="117">
        <f>C8/C10</f>
        <v>0.14666666666666667</v>
      </c>
      <c r="J8" s="32" t="s">
        <v>869</v>
      </c>
    </row>
    <row r="9" spans="1:10" ht="15" customHeight="1" x14ac:dyDescent="0.3">
      <c r="B9" s="39" t="s">
        <v>870</v>
      </c>
      <c r="C9" s="132">
        <f>C10-C8</f>
        <v>768</v>
      </c>
      <c r="D9" s="132">
        <f>D10-D8</f>
        <v>969.2</v>
      </c>
      <c r="E9" s="131">
        <f>C9/$C$20</f>
        <v>12.929292929292929</v>
      </c>
      <c r="F9" s="117">
        <f>C9/C10</f>
        <v>0.85333333333333339</v>
      </c>
      <c r="J9" s="32" t="s">
        <v>871</v>
      </c>
    </row>
    <row r="10" spans="1:10" ht="15" customHeight="1" x14ac:dyDescent="0.3">
      <c r="B10" s="133" t="s">
        <v>872</v>
      </c>
      <c r="C10" s="134">
        <v>900</v>
      </c>
      <c r="D10" s="134">
        <v>1136</v>
      </c>
      <c r="E10" s="118">
        <f>C10/59.4</f>
        <v>15.151515151515152</v>
      </c>
      <c r="F10" s="117">
        <f>C10/C10</f>
        <v>1</v>
      </c>
      <c r="J10" s="32" t="s">
        <v>873</v>
      </c>
    </row>
    <row r="12" spans="1:10" ht="15" customHeight="1" x14ac:dyDescent="0.3">
      <c r="B12" s="195" t="s">
        <v>874</v>
      </c>
      <c r="C12" s="198"/>
      <c r="D12" s="198"/>
      <c r="E12" s="196"/>
    </row>
    <row r="13" spans="1:10" ht="15" customHeight="1" x14ac:dyDescent="0.3">
      <c r="B13" s="30" t="s">
        <v>875</v>
      </c>
      <c r="C13" s="135" t="s">
        <v>876</v>
      </c>
      <c r="J13" s="32" t="s">
        <v>877</v>
      </c>
    </row>
    <row r="14" spans="1:10" ht="15" customHeight="1" x14ac:dyDescent="0.3">
      <c r="B14" s="30" t="s">
        <v>878</v>
      </c>
      <c r="C14" s="135" t="s">
        <v>879</v>
      </c>
      <c r="J14" s="32" t="s">
        <v>880</v>
      </c>
    </row>
    <row r="15" spans="1:10" ht="15" customHeight="1" x14ac:dyDescent="0.3">
      <c r="B15" s="30" t="s">
        <v>881</v>
      </c>
      <c r="C15" s="135" t="s">
        <v>882</v>
      </c>
      <c r="J15" s="32" t="s">
        <v>883</v>
      </c>
    </row>
    <row r="16" spans="1:10" ht="15" customHeight="1" x14ac:dyDescent="0.3">
      <c r="B16" s="30" t="s">
        <v>884</v>
      </c>
      <c r="C16" s="135" t="s">
        <v>885</v>
      </c>
      <c r="J16" s="32" t="s">
        <v>886</v>
      </c>
    </row>
    <row r="18" spans="2:5" ht="15" customHeight="1" x14ac:dyDescent="0.3">
      <c r="B18" s="195" t="s">
        <v>887</v>
      </c>
      <c r="C18" s="198"/>
      <c r="D18" s="198"/>
      <c r="E18" s="196"/>
    </row>
    <row r="19" spans="2:5" ht="15" customHeight="1" x14ac:dyDescent="0.3">
      <c r="B19" s="30" t="s">
        <v>888</v>
      </c>
      <c r="C19" s="109">
        <v>903</v>
      </c>
      <c r="D19" s="32" t="s">
        <v>889</v>
      </c>
    </row>
    <row r="20" spans="2:5" ht="15" customHeight="1" x14ac:dyDescent="0.3">
      <c r="B20" s="30" t="s">
        <v>890</v>
      </c>
      <c r="C20" s="109">
        <v>59.4</v>
      </c>
      <c r="D20" s="32" t="s">
        <v>891</v>
      </c>
    </row>
    <row r="21" spans="2:5" ht="15" customHeight="1" x14ac:dyDescent="0.3">
      <c r="B21" s="30" t="s">
        <v>892</v>
      </c>
      <c r="C21" s="118">
        <f>C19/C20</f>
        <v>15.202020202020202</v>
      </c>
      <c r="D21" s="32" t="s">
        <v>893</v>
      </c>
    </row>
    <row r="22" spans="2:5" ht="15" customHeight="1" x14ac:dyDescent="0.3">
      <c r="B22" s="30" t="s">
        <v>894</v>
      </c>
      <c r="C22" s="109">
        <v>44.4</v>
      </c>
      <c r="D22" s="32" t="s">
        <v>895</v>
      </c>
    </row>
    <row r="23" spans="2:5" ht="15" customHeight="1" x14ac:dyDescent="0.3">
      <c r="B23" s="30" t="s">
        <v>896</v>
      </c>
      <c r="C23" s="118">
        <f>C19/C22</f>
        <v>20.337837837837839</v>
      </c>
      <c r="D23" s="32" t="s">
        <v>897</v>
      </c>
    </row>
    <row r="24" spans="2:5" ht="15" customHeight="1" x14ac:dyDescent="0.3">
      <c r="B24" s="30" t="s">
        <v>898</v>
      </c>
      <c r="C24" s="109">
        <v>149</v>
      </c>
      <c r="D24" s="32" t="s">
        <v>899</v>
      </c>
    </row>
    <row r="25" spans="2:5" ht="15" customHeight="1" x14ac:dyDescent="0.3">
      <c r="B25" s="30" t="s">
        <v>767</v>
      </c>
      <c r="C25" s="110">
        <v>0.08</v>
      </c>
      <c r="D25" s="32" t="s">
        <v>900</v>
      </c>
    </row>
    <row r="26" spans="2:5" ht="15" customHeight="1" x14ac:dyDescent="0.3">
      <c r="B26" s="30" t="s">
        <v>769</v>
      </c>
      <c r="C26" s="110">
        <v>0.05</v>
      </c>
      <c r="D26" s="32" t="s">
        <v>901</v>
      </c>
    </row>
    <row r="27" spans="2:5" ht="15" customHeight="1" x14ac:dyDescent="0.3">
      <c r="B27" s="30" t="s">
        <v>902</v>
      </c>
      <c r="C27" s="110">
        <v>0.4</v>
      </c>
      <c r="D27" s="32" t="s">
        <v>903</v>
      </c>
    </row>
    <row r="28" spans="2:5" ht="15" customHeight="1" x14ac:dyDescent="0.3">
      <c r="B28" s="30" t="s">
        <v>904</v>
      </c>
      <c r="C28" s="110">
        <v>4.8000000000000001E-2</v>
      </c>
      <c r="D28" s="32" t="s">
        <v>905</v>
      </c>
    </row>
    <row r="29" spans="2:5" ht="15" customHeight="1" x14ac:dyDescent="0.3">
      <c r="B29" s="30" t="s">
        <v>775</v>
      </c>
      <c r="C29" s="110">
        <v>0.25</v>
      </c>
      <c r="D29" s="32" t="s">
        <v>906</v>
      </c>
    </row>
    <row r="30" spans="2:5" ht="15" customHeight="1" x14ac:dyDescent="0.3">
      <c r="B30" s="30" t="s">
        <v>907</v>
      </c>
      <c r="C30" s="110">
        <v>4.4999999999999998E-2</v>
      </c>
      <c r="D30" s="32" t="s">
        <v>908</v>
      </c>
    </row>
    <row r="31" spans="2:5" ht="15" customHeight="1" x14ac:dyDescent="0.3">
      <c r="B31" s="30" t="s">
        <v>909</v>
      </c>
      <c r="C31" s="110">
        <v>0.05</v>
      </c>
      <c r="D31" s="32" t="s">
        <v>910</v>
      </c>
    </row>
    <row r="32" spans="2:5" ht="15" customHeight="1" x14ac:dyDescent="0.3">
      <c r="B32" s="30" t="s">
        <v>911</v>
      </c>
      <c r="C32" s="136">
        <v>5.1999999999999998E-2</v>
      </c>
      <c r="D32" s="32" t="s">
        <v>912</v>
      </c>
    </row>
    <row r="33" spans="2:8" ht="15" customHeight="1" x14ac:dyDescent="0.3">
      <c r="B33" s="30" t="s">
        <v>913</v>
      </c>
      <c r="C33" s="136">
        <v>0.06</v>
      </c>
      <c r="D33" s="32" t="s">
        <v>914</v>
      </c>
    </row>
    <row r="34" spans="2:8" ht="15" customHeight="1" x14ac:dyDescent="0.3">
      <c r="B34" s="30" t="s">
        <v>915</v>
      </c>
      <c r="C34" s="117">
        <f>C32+C33</f>
        <v>0.11199999999999999</v>
      </c>
      <c r="D34" s="32" t="s">
        <v>916</v>
      </c>
    </row>
    <row r="35" spans="2:8" ht="15" customHeight="1" x14ac:dyDescent="0.3">
      <c r="B35" s="30" t="s">
        <v>917</v>
      </c>
      <c r="C35" s="110">
        <v>0.01</v>
      </c>
      <c r="D35" s="32" t="s">
        <v>918</v>
      </c>
    </row>
    <row r="36" spans="2:8" ht="15" customHeight="1" x14ac:dyDescent="0.3">
      <c r="B36" s="30" t="s">
        <v>919</v>
      </c>
      <c r="C36" s="110">
        <v>0.5</v>
      </c>
      <c r="D36" s="32" t="s">
        <v>920</v>
      </c>
    </row>
    <row r="38" spans="2:8" ht="15" customHeight="1" x14ac:dyDescent="0.3">
      <c r="B38" s="195" t="s">
        <v>921</v>
      </c>
      <c r="C38" s="198"/>
      <c r="D38" s="198"/>
      <c r="E38" s="198"/>
      <c r="F38" s="198"/>
      <c r="G38" s="198"/>
      <c r="H38" s="196"/>
    </row>
    <row r="39" spans="2:8" ht="15" customHeight="1" x14ac:dyDescent="0.3">
      <c r="B39" s="44"/>
      <c r="C39" s="44" t="s">
        <v>922</v>
      </c>
      <c r="D39" s="44" t="s">
        <v>923</v>
      </c>
      <c r="E39" s="44" t="s">
        <v>924</v>
      </c>
      <c r="F39" s="44" t="s">
        <v>925</v>
      </c>
      <c r="G39" s="44" t="s">
        <v>926</v>
      </c>
      <c r="H39" s="44" t="s">
        <v>927</v>
      </c>
    </row>
    <row r="40" spans="2:8" ht="15" customHeight="1" x14ac:dyDescent="0.3">
      <c r="B40" s="39" t="s">
        <v>791</v>
      </c>
      <c r="C40" s="137">
        <f>C24</f>
        <v>149</v>
      </c>
      <c r="D40" s="111">
        <f>C40*(1+C25)</f>
        <v>160.92000000000002</v>
      </c>
      <c r="E40" s="111">
        <f>D40*(1+C25)</f>
        <v>173.79360000000003</v>
      </c>
      <c r="F40" s="111">
        <f>E40*(1+C26)</f>
        <v>182.48328000000004</v>
      </c>
      <c r="G40" s="111">
        <f>F40*(1+C26)</f>
        <v>191.60744400000004</v>
      </c>
      <c r="H40" s="111">
        <f>G40*(1+C26)</f>
        <v>201.18781620000004</v>
      </c>
    </row>
    <row r="41" spans="2:8" ht="15" customHeight="1" x14ac:dyDescent="0.3">
      <c r="B41" s="39" t="s">
        <v>402</v>
      </c>
      <c r="C41" s="137">
        <f>C20</f>
        <v>59.4</v>
      </c>
      <c r="D41" s="111">
        <f>D40*C27</f>
        <v>64.368000000000009</v>
      </c>
      <c r="E41" s="111">
        <f>E40*C27</f>
        <v>69.517440000000008</v>
      </c>
      <c r="F41" s="111">
        <f>F40*C27</f>
        <v>72.993312000000017</v>
      </c>
      <c r="G41" s="111">
        <f>G40*C27</f>
        <v>76.642977600000023</v>
      </c>
      <c r="H41" s="111">
        <f>H40*C27</f>
        <v>80.475126480000029</v>
      </c>
    </row>
    <row r="42" spans="2:8" ht="15" customHeight="1" x14ac:dyDescent="0.3">
      <c r="B42" s="30" t="s">
        <v>792</v>
      </c>
      <c r="C42" s="111">
        <f>C40*C28</f>
        <v>7.1520000000000001</v>
      </c>
      <c r="D42" s="111">
        <f>D40*C28</f>
        <v>7.7241600000000012</v>
      </c>
      <c r="E42" s="111">
        <f>E40*C28</f>
        <v>8.3420928000000014</v>
      </c>
      <c r="F42" s="111">
        <f>F40*C28</f>
        <v>8.7591974400000012</v>
      </c>
      <c r="G42" s="111">
        <f>G40*C28</f>
        <v>9.1971573120000016</v>
      </c>
      <c r="H42" s="111">
        <f>H40*C28</f>
        <v>9.6570151776000017</v>
      </c>
    </row>
    <row r="43" spans="2:8" ht="15" customHeight="1" x14ac:dyDescent="0.3">
      <c r="B43" s="39" t="s">
        <v>403</v>
      </c>
      <c r="C43" s="111">
        <f t="shared" ref="C43:H43" si="0">C41-C42</f>
        <v>52.247999999999998</v>
      </c>
      <c r="D43" s="111">
        <f t="shared" si="0"/>
        <v>56.643840000000012</v>
      </c>
      <c r="E43" s="111">
        <f t="shared" si="0"/>
        <v>61.175347200000004</v>
      </c>
      <c r="F43" s="111">
        <f t="shared" si="0"/>
        <v>64.234114560000023</v>
      </c>
      <c r="G43" s="111">
        <f t="shared" si="0"/>
        <v>67.445820288000021</v>
      </c>
      <c r="H43" s="111">
        <f t="shared" si="0"/>
        <v>70.818111302400027</v>
      </c>
    </row>
    <row r="44" spans="2:8" ht="15" customHeight="1" x14ac:dyDescent="0.3">
      <c r="B44" s="30" t="s">
        <v>928</v>
      </c>
      <c r="C44" s="111">
        <f>C56*C34</f>
        <v>11.5808</v>
      </c>
      <c r="D44" s="111">
        <f>D56*C34</f>
        <v>11.5808</v>
      </c>
      <c r="E44" s="111">
        <f>E56*C34</f>
        <v>9.6944937599999985</v>
      </c>
      <c r="F44" s="111">
        <f>F56*C34</f>
        <v>7.5391466707199983</v>
      </c>
      <c r="G44" s="111">
        <f>G56*C34</f>
        <v>5.1516319323302371</v>
      </c>
      <c r="H44" s="111">
        <f>H56*C34</f>
        <v>2.5286336300001064</v>
      </c>
    </row>
    <row r="45" spans="2:8" ht="15" customHeight="1" x14ac:dyDescent="0.3">
      <c r="B45" s="39" t="s">
        <v>929</v>
      </c>
      <c r="C45" s="111">
        <f t="shared" ref="C45:H45" si="1">C44</f>
        <v>11.5808</v>
      </c>
      <c r="D45" s="111">
        <f t="shared" si="1"/>
        <v>11.5808</v>
      </c>
      <c r="E45" s="111">
        <f t="shared" si="1"/>
        <v>9.6944937599999985</v>
      </c>
      <c r="F45" s="111">
        <f t="shared" si="1"/>
        <v>7.5391466707199983</v>
      </c>
      <c r="G45" s="111">
        <f t="shared" si="1"/>
        <v>5.1516319323302371</v>
      </c>
      <c r="H45" s="111">
        <f t="shared" si="1"/>
        <v>2.5286336300001064</v>
      </c>
    </row>
    <row r="46" spans="2:8" ht="15" customHeight="1" x14ac:dyDescent="0.3">
      <c r="B46" s="39" t="s">
        <v>930</v>
      </c>
      <c r="C46" s="111">
        <f t="shared" ref="C46:H46" si="2">C43-C45</f>
        <v>40.667199999999994</v>
      </c>
      <c r="D46" s="111">
        <f t="shared" si="2"/>
        <v>45.063040000000015</v>
      </c>
      <c r="E46" s="111">
        <f t="shared" si="2"/>
        <v>51.480853440000004</v>
      </c>
      <c r="F46" s="111">
        <f t="shared" si="2"/>
        <v>56.694967889280022</v>
      </c>
      <c r="G46" s="111">
        <f t="shared" si="2"/>
        <v>62.294188355669782</v>
      </c>
      <c r="H46" s="111">
        <f t="shared" si="2"/>
        <v>68.289477672399926</v>
      </c>
    </row>
    <row r="47" spans="2:8" ht="15" customHeight="1" x14ac:dyDescent="0.3">
      <c r="B47" s="30" t="s">
        <v>931</v>
      </c>
      <c r="C47" s="111">
        <f>MAX(0,C46*C29)</f>
        <v>10.166799999999999</v>
      </c>
      <c r="D47" s="111">
        <f>MAX(0,D46*C29)</f>
        <v>11.265760000000004</v>
      </c>
      <c r="E47" s="111">
        <f>MAX(0,E46*C29)</f>
        <v>12.870213360000001</v>
      </c>
      <c r="F47" s="111">
        <f>MAX(0,F46*C29)</f>
        <v>14.173741972320006</v>
      </c>
      <c r="G47" s="111">
        <f>MAX(0,G46*C29)</f>
        <v>15.573547088917445</v>
      </c>
      <c r="H47" s="111">
        <f>MAX(0,H46*C29)</f>
        <v>17.072369418099981</v>
      </c>
    </row>
    <row r="48" spans="2:8" ht="15" customHeight="1" x14ac:dyDescent="0.3">
      <c r="B48" s="39" t="s">
        <v>932</v>
      </c>
      <c r="C48" s="111">
        <f t="shared" ref="C48:H48" si="3">C46-C47</f>
        <v>30.500399999999996</v>
      </c>
      <c r="D48" s="111">
        <f t="shared" si="3"/>
        <v>33.797280000000015</v>
      </c>
      <c r="E48" s="111">
        <f t="shared" si="3"/>
        <v>38.610640080000003</v>
      </c>
      <c r="F48" s="111">
        <f t="shared" si="3"/>
        <v>42.52122591696002</v>
      </c>
      <c r="G48" s="111">
        <f t="shared" si="3"/>
        <v>46.720641266752338</v>
      </c>
      <c r="H48" s="111">
        <f t="shared" si="3"/>
        <v>51.217108254299944</v>
      </c>
    </row>
    <row r="49" spans="2:8" ht="15" customHeight="1" x14ac:dyDescent="0.3">
      <c r="B49" s="30" t="s">
        <v>933</v>
      </c>
      <c r="C49" s="111">
        <f t="shared" ref="C49:H49" si="4">C42</f>
        <v>7.1520000000000001</v>
      </c>
      <c r="D49" s="111">
        <f t="shared" si="4"/>
        <v>7.7241600000000012</v>
      </c>
      <c r="E49" s="111">
        <f t="shared" si="4"/>
        <v>8.3420928000000014</v>
      </c>
      <c r="F49" s="111">
        <f t="shared" si="4"/>
        <v>8.7591974400000012</v>
      </c>
      <c r="G49" s="111">
        <f t="shared" si="4"/>
        <v>9.1971573120000016</v>
      </c>
      <c r="H49" s="111">
        <f t="shared" si="4"/>
        <v>9.6570151776000017</v>
      </c>
    </row>
    <row r="50" spans="2:8" ht="15" customHeight="1" x14ac:dyDescent="0.3">
      <c r="B50" s="30" t="s">
        <v>796</v>
      </c>
      <c r="C50" s="111">
        <f>C40*C30</f>
        <v>6.7050000000000001</v>
      </c>
      <c r="D50" s="111">
        <f>D40*C30</f>
        <v>7.2414000000000005</v>
      </c>
      <c r="E50" s="111">
        <f>E40*C30</f>
        <v>7.8207120000000012</v>
      </c>
      <c r="F50" s="111">
        <f>F40*C30</f>
        <v>8.2117476000000007</v>
      </c>
      <c r="G50" s="111">
        <f>G40*C30</f>
        <v>8.6223349800000015</v>
      </c>
      <c r="H50" s="111">
        <f>H40*C30</f>
        <v>9.0534517290000007</v>
      </c>
    </row>
    <row r="51" spans="2:8" ht="15" customHeight="1" x14ac:dyDescent="0.3">
      <c r="B51" s="30" t="s">
        <v>797</v>
      </c>
      <c r="C51" s="138">
        <v>0</v>
      </c>
      <c r="D51" s="111">
        <f>(D40-C40)*C31</f>
        <v>0.59600000000000086</v>
      </c>
      <c r="E51" s="111">
        <f>(E40-D40)*C31</f>
        <v>0.64368000000000059</v>
      </c>
      <c r="F51" s="111">
        <f>(F40-E40)*C31</f>
        <v>0.43448400000000054</v>
      </c>
      <c r="G51" s="111">
        <f>(G40-F40)*C31</f>
        <v>0.4562082000000004</v>
      </c>
      <c r="H51" s="111">
        <f>(H40-G40)*C31</f>
        <v>0.47901861000000001</v>
      </c>
    </row>
    <row r="52" spans="2:8" ht="15" customHeight="1" x14ac:dyDescent="0.3">
      <c r="B52" s="39" t="s">
        <v>934</v>
      </c>
      <c r="C52" s="112">
        <f t="shared" ref="C52:H52" si="5">C48+C49-C50-C51</f>
        <v>30.947399999999995</v>
      </c>
      <c r="D52" s="112">
        <f t="shared" si="5"/>
        <v>33.68404000000001</v>
      </c>
      <c r="E52" s="112">
        <f t="shared" si="5"/>
        <v>38.488340880000003</v>
      </c>
      <c r="F52" s="112">
        <f t="shared" si="5"/>
        <v>42.634191756960021</v>
      </c>
      <c r="G52" s="112">
        <f t="shared" si="5"/>
        <v>46.839255398752336</v>
      </c>
      <c r="H52" s="112">
        <f t="shared" si="5"/>
        <v>51.341653092899946</v>
      </c>
    </row>
    <row r="54" spans="2:8" ht="15" customHeight="1" x14ac:dyDescent="0.3">
      <c r="B54" s="195" t="s">
        <v>935</v>
      </c>
      <c r="C54" s="198"/>
      <c r="D54" s="198"/>
      <c r="E54" s="198"/>
      <c r="F54" s="198"/>
      <c r="G54" s="198"/>
      <c r="H54" s="196"/>
    </row>
    <row r="55" spans="2:8" ht="15" customHeight="1" x14ac:dyDescent="0.3">
      <c r="B55" s="44"/>
      <c r="C55" s="44" t="s">
        <v>922</v>
      </c>
      <c r="D55" s="44" t="s">
        <v>923</v>
      </c>
      <c r="E55" s="44" t="s">
        <v>924</v>
      </c>
      <c r="F55" s="44" t="s">
        <v>925</v>
      </c>
      <c r="G55" s="44" t="s">
        <v>926</v>
      </c>
      <c r="H55" s="44" t="s">
        <v>927</v>
      </c>
    </row>
    <row r="56" spans="2:8" ht="15" customHeight="1" x14ac:dyDescent="0.3">
      <c r="B56" s="30" t="s">
        <v>936</v>
      </c>
      <c r="C56" s="138">
        <v>103.4</v>
      </c>
      <c r="D56" s="111">
        <f>C59</f>
        <v>103.4</v>
      </c>
      <c r="E56" s="111">
        <f>D59</f>
        <v>86.557980000000001</v>
      </c>
      <c r="F56" s="111">
        <f>E59</f>
        <v>67.313809559999996</v>
      </c>
      <c r="G56" s="111">
        <f>F59</f>
        <v>45.996713681519978</v>
      </c>
      <c r="H56" s="111">
        <f>G59</f>
        <v>22.57708598214381</v>
      </c>
    </row>
    <row r="57" spans="2:8" ht="15" customHeight="1" x14ac:dyDescent="0.3">
      <c r="B57" s="30" t="s">
        <v>937</v>
      </c>
      <c r="C57" s="138">
        <v>0</v>
      </c>
      <c r="D57" s="111">
        <f>C56*C35</f>
        <v>1.034</v>
      </c>
      <c r="E57" s="111">
        <f>C56*C35</f>
        <v>1.034</v>
      </c>
      <c r="F57" s="111">
        <f>C56*C35</f>
        <v>1.034</v>
      </c>
      <c r="G57" s="111">
        <f>C56*C35</f>
        <v>1.034</v>
      </c>
      <c r="H57" s="111">
        <f>C56*C35</f>
        <v>1.034</v>
      </c>
    </row>
    <row r="58" spans="2:8" ht="15" customHeight="1" x14ac:dyDescent="0.3">
      <c r="B58" s="30" t="s">
        <v>938</v>
      </c>
      <c r="C58" s="138">
        <v>0</v>
      </c>
      <c r="D58" s="111">
        <f>MIN(MAX(0,D52*C36-D57),D56-D57)</f>
        <v>15.808020000000004</v>
      </c>
      <c r="E58" s="111">
        <f>MIN(MAX(0,E52*C36-E57),E56-E57)</f>
        <v>18.210170440000002</v>
      </c>
      <c r="F58" s="111">
        <f>MIN(MAX(0,F52*C36-F57),F56-F57)</f>
        <v>20.283095878480012</v>
      </c>
      <c r="G58" s="111">
        <f>MIN(MAX(0,G52*C36-G57),G56-G57)</f>
        <v>22.385627699376169</v>
      </c>
      <c r="H58" s="111">
        <f>MIN(MAX(0,H52*C36-H57),H56-H57)</f>
        <v>21.543085982143811</v>
      </c>
    </row>
    <row r="59" spans="2:8" ht="15" customHeight="1" x14ac:dyDescent="0.3">
      <c r="B59" s="39" t="s">
        <v>939</v>
      </c>
      <c r="C59" s="112">
        <f>C56</f>
        <v>103.4</v>
      </c>
      <c r="D59" s="112">
        <f>D56-D57-D58</f>
        <v>86.557980000000001</v>
      </c>
      <c r="E59" s="112">
        <f>E56-E57-E58</f>
        <v>67.313809559999996</v>
      </c>
      <c r="F59" s="112">
        <f>F56-F57-F58</f>
        <v>45.996713681519978</v>
      </c>
      <c r="G59" s="112">
        <f>G56-G57-G58</f>
        <v>22.57708598214381</v>
      </c>
      <c r="H59" s="112">
        <f>H56-H57-H58</f>
        <v>0</v>
      </c>
    </row>
    <row r="61" spans="2:8" ht="15" customHeight="1" x14ac:dyDescent="0.3">
      <c r="B61" s="39" t="s">
        <v>940</v>
      </c>
      <c r="C61" s="139">
        <f t="shared" ref="C61:H61" si="6">C59</f>
        <v>103.4</v>
      </c>
      <c r="D61" s="139">
        <f t="shared" si="6"/>
        <v>86.557980000000001</v>
      </c>
      <c r="E61" s="139">
        <f t="shared" si="6"/>
        <v>67.313809559999996</v>
      </c>
      <c r="F61" s="139">
        <f t="shared" si="6"/>
        <v>45.996713681519978</v>
      </c>
      <c r="G61" s="139">
        <f t="shared" si="6"/>
        <v>22.57708598214381</v>
      </c>
      <c r="H61" s="139">
        <f t="shared" si="6"/>
        <v>0</v>
      </c>
    </row>
    <row r="62" spans="2:8" ht="15" customHeight="1" x14ac:dyDescent="0.3">
      <c r="B62" s="39" t="s">
        <v>941</v>
      </c>
      <c r="C62" s="51">
        <f t="shared" ref="C62:H62" si="7">C61/C41</f>
        <v>1.7407407407407409</v>
      </c>
      <c r="D62" s="51">
        <f t="shared" si="7"/>
        <v>1.3447362043251303</v>
      </c>
      <c r="E62" s="51">
        <f t="shared" si="7"/>
        <v>0.96830104158035724</v>
      </c>
      <c r="F62" s="51">
        <f t="shared" si="7"/>
        <v>0.63014970031117323</v>
      </c>
      <c r="G62" s="51">
        <f t="shared" si="7"/>
        <v>0.29457475021356427</v>
      </c>
      <c r="H62" s="51">
        <f t="shared" si="7"/>
        <v>0</v>
      </c>
    </row>
    <row r="63" spans="2:8" ht="15" customHeight="1" x14ac:dyDescent="0.3">
      <c r="B63" s="39" t="s">
        <v>942</v>
      </c>
      <c r="C63" s="51">
        <f t="shared" ref="C63:H63" si="8">IF(C45=0,"-",C41/C45)</f>
        <v>5.1291793313069904</v>
      </c>
      <c r="D63" s="51">
        <f t="shared" si="8"/>
        <v>5.5581652390163034</v>
      </c>
      <c r="E63" s="51">
        <f t="shared" si="8"/>
        <v>7.1708169318580302</v>
      </c>
      <c r="F63" s="51">
        <f t="shared" si="8"/>
        <v>9.681906346707148</v>
      </c>
      <c r="G63" s="51">
        <f t="shared" si="8"/>
        <v>14.877417215894171</v>
      </c>
      <c r="H63" s="51">
        <f t="shared" si="8"/>
        <v>31.825538316516276</v>
      </c>
    </row>
    <row r="65" spans="2:8" ht="15" customHeight="1" x14ac:dyDescent="0.3">
      <c r="B65" s="195" t="s">
        <v>943</v>
      </c>
      <c r="C65" s="198"/>
      <c r="D65" s="198"/>
      <c r="E65" s="198"/>
      <c r="F65" s="198"/>
      <c r="G65" s="198"/>
      <c r="H65" s="196"/>
    </row>
    <row r="66" spans="2:8" ht="15" customHeight="1" x14ac:dyDescent="0.3">
      <c r="B66" s="44" t="s">
        <v>944</v>
      </c>
      <c r="C66" s="208" t="s">
        <v>945</v>
      </c>
      <c r="D66" s="196"/>
      <c r="E66" s="208" t="s">
        <v>946</v>
      </c>
      <c r="F66" s="196"/>
      <c r="G66" s="208" t="s">
        <v>947</v>
      </c>
      <c r="H66" s="196"/>
    </row>
    <row r="67" spans="2:8" ht="15" customHeight="1" x14ac:dyDescent="0.3">
      <c r="B67" s="140"/>
      <c r="C67" s="44" t="s">
        <v>948</v>
      </c>
      <c r="D67" s="44" t="s">
        <v>949</v>
      </c>
      <c r="E67" s="44" t="s">
        <v>948</v>
      </c>
      <c r="F67" s="44" t="s">
        <v>949</v>
      </c>
      <c r="G67" s="44" t="s">
        <v>948</v>
      </c>
      <c r="H67" s="44" t="s">
        <v>949</v>
      </c>
    </row>
    <row r="68" spans="2:8" ht="15" customHeight="1" x14ac:dyDescent="0.3">
      <c r="B68" s="141">
        <v>12</v>
      </c>
      <c r="C68" s="75">
        <f>($B68*F41-F61)/C9</f>
        <v>1.0806289457271878</v>
      </c>
      <c r="D68" s="68">
        <f t="shared" ref="D68:D75" si="9">IF(C68&lt;=0,"N/A",C68^(1/3)-1)</f>
        <v>2.6184692702539536E-2</v>
      </c>
      <c r="E68" s="75">
        <f>($B68*G41-G61)/C9</f>
        <v>1.1681492776274174</v>
      </c>
      <c r="F68" s="68">
        <f t="shared" ref="F68:F75" si="10">IF(E68&lt;=0,"N/A",E68^(1/4)-1)</f>
        <v>3.9619905226343732E-2</v>
      </c>
      <c r="G68" s="75">
        <f>($B68*H41-H61)/C9</f>
        <v>1.2574238512500004</v>
      </c>
      <c r="H68" s="68">
        <f t="shared" ref="H68:H75" si="11">IF(G68&lt;=0,"N/A",G68^(1/5)-1)</f>
        <v>4.6878640060993515E-2</v>
      </c>
    </row>
    <row r="69" spans="2:8" ht="15" customHeight="1" x14ac:dyDescent="0.3">
      <c r="B69" s="141">
        <v>13</v>
      </c>
      <c r="C69" s="75">
        <f>($B69*F41-F61)/C9</f>
        <v>1.1756723207271877</v>
      </c>
      <c r="D69" s="68">
        <f t="shared" si="9"/>
        <v>5.5428371589155478E-2</v>
      </c>
      <c r="E69" s="75">
        <f>($B69*G41-G61)/C9</f>
        <v>1.2679448213774174</v>
      </c>
      <c r="F69" s="68">
        <f t="shared" si="10"/>
        <v>6.1145871075042324E-2</v>
      </c>
      <c r="G69" s="75">
        <f>($B69*H41-H61)/C9</f>
        <v>1.3622091721875005</v>
      </c>
      <c r="H69" s="68">
        <f t="shared" si="11"/>
        <v>6.3772502515843321E-2</v>
      </c>
    </row>
    <row r="70" spans="2:8" ht="15" customHeight="1" x14ac:dyDescent="0.3">
      <c r="B70" s="141">
        <v>14</v>
      </c>
      <c r="C70" s="75">
        <f>($B70*F41-F61)/C9</f>
        <v>1.2707156957271879</v>
      </c>
      <c r="D70" s="68">
        <f t="shared" si="9"/>
        <v>8.3135519801905255E-2</v>
      </c>
      <c r="E70" s="75">
        <f>($B70*G41-G61)/C9</f>
        <v>1.3677403651274174</v>
      </c>
      <c r="F70" s="68">
        <f t="shared" si="10"/>
        <v>8.1436232305968304E-2</v>
      </c>
      <c r="G70" s="75">
        <f>($B70*H41-H61)/C9</f>
        <v>1.4669944931250007</v>
      </c>
      <c r="H70" s="68">
        <f t="shared" si="11"/>
        <v>7.9656731126098945E-2</v>
      </c>
    </row>
    <row r="71" spans="2:8" ht="15" customHeight="1" x14ac:dyDescent="0.3">
      <c r="B71" s="141">
        <v>15</v>
      </c>
      <c r="C71" s="75">
        <f>($B71*F41-F61)/C9</f>
        <v>1.3657590707271876</v>
      </c>
      <c r="D71" s="68">
        <f t="shared" si="9"/>
        <v>0.10949333550214302</v>
      </c>
      <c r="E71" s="75">
        <f>($B71*G41-G61)/C9</f>
        <v>1.4675359088774174</v>
      </c>
      <c r="F71" s="68">
        <f t="shared" si="10"/>
        <v>0.10064479513046032</v>
      </c>
      <c r="G71" s="142">
        <f>($B71*H41-H61)/C9</f>
        <v>1.5717798140625006</v>
      </c>
      <c r="H71" s="143">
        <f t="shared" si="11"/>
        <v>9.465771281073776E-2</v>
      </c>
    </row>
    <row r="72" spans="2:8" ht="15" customHeight="1" x14ac:dyDescent="0.3">
      <c r="B72" s="141">
        <v>16</v>
      </c>
      <c r="C72" s="75">
        <f>($B72*F41-F61)/C9</f>
        <v>1.4608024457271878</v>
      </c>
      <c r="D72" s="68">
        <f t="shared" si="9"/>
        <v>0.1346549943979678</v>
      </c>
      <c r="E72" s="75">
        <f>($B72*G41-G61)/C9</f>
        <v>1.5673314526274174</v>
      </c>
      <c r="F72" s="68">
        <f t="shared" si="10"/>
        <v>0.11889726490346098</v>
      </c>
      <c r="G72" s="75">
        <f>($B72*H41-H61)/C9</f>
        <v>1.6765651350000006</v>
      </c>
      <c r="H72" s="68">
        <f t="shared" si="11"/>
        <v>0.10887881423736245</v>
      </c>
    </row>
    <row r="73" spans="2:8" ht="15" customHeight="1" x14ac:dyDescent="0.3">
      <c r="B73" s="141">
        <v>17</v>
      </c>
      <c r="C73" s="75">
        <f>($B73*F41-F61)/C9</f>
        <v>1.5558458207271879</v>
      </c>
      <c r="D73" s="68">
        <f t="shared" si="9"/>
        <v>0.15874761306116913</v>
      </c>
      <c r="E73" s="75">
        <f>($B73*G41-G61)/C9</f>
        <v>1.6671269963774173</v>
      </c>
      <c r="F73" s="68">
        <f t="shared" si="10"/>
        <v>0.13629781367270888</v>
      </c>
      <c r="G73" s="75">
        <f>($B73*H41-H61)/C9</f>
        <v>1.7813504559375006</v>
      </c>
      <c r="H73" s="68">
        <f t="shared" si="11"/>
        <v>0.12240572666324145</v>
      </c>
    </row>
    <row r="74" spans="2:8" ht="15" customHeight="1" x14ac:dyDescent="0.3">
      <c r="B74" s="141">
        <v>18</v>
      </c>
      <c r="C74" s="75">
        <f>($B74*F41-F61)/C9</f>
        <v>1.6508891957271878</v>
      </c>
      <c r="D74" s="68">
        <f t="shared" si="9"/>
        <v>0.18187798146628431</v>
      </c>
      <c r="E74" s="75">
        <f>($B74*G41-G61)/C9</f>
        <v>1.7669225401274173</v>
      </c>
      <c r="F74" s="68">
        <f t="shared" si="10"/>
        <v>0.15293381690042396</v>
      </c>
      <c r="G74" s="75">
        <f>($B74*H41-H61)/C9</f>
        <v>1.8861357768750004</v>
      </c>
      <c r="H74" s="68">
        <f t="shared" si="11"/>
        <v>0.13531033301598372</v>
      </c>
    </row>
    <row r="75" spans="2:8" ht="15" customHeight="1" x14ac:dyDescent="0.3">
      <c r="B75" s="141">
        <v>20</v>
      </c>
      <c r="C75" s="75">
        <f>($B75*F41-F61)/C9</f>
        <v>1.8409759457271877</v>
      </c>
      <c r="D75" s="68">
        <f t="shared" si="9"/>
        <v>0.22560174700403524</v>
      </c>
      <c r="E75" s="75">
        <f>($B75*G41-G61)/C9</f>
        <v>1.9665136276274173</v>
      </c>
      <c r="F75" s="68">
        <f t="shared" si="10"/>
        <v>0.1841977732007114</v>
      </c>
      <c r="G75" s="75">
        <f>($B75*H41-H61)/C9</f>
        <v>2.0957064187500007</v>
      </c>
      <c r="H75" s="68">
        <f t="shared" si="11"/>
        <v>0.15948754719709735</v>
      </c>
    </row>
    <row r="77" spans="2:8" ht="15" customHeight="1" x14ac:dyDescent="0.3">
      <c r="B77" s="195" t="s">
        <v>950</v>
      </c>
      <c r="C77" s="198"/>
      <c r="D77" s="198"/>
      <c r="E77" s="196"/>
    </row>
    <row r="78" spans="2:8" ht="15" customHeight="1" x14ac:dyDescent="0.3">
      <c r="B78" s="30" t="s">
        <v>951</v>
      </c>
      <c r="C78" s="119">
        <v>530</v>
      </c>
      <c r="D78" s="32" t="s">
        <v>278</v>
      </c>
    </row>
    <row r="79" spans="2:8" ht="15" customHeight="1" x14ac:dyDescent="0.3">
      <c r="B79" s="30" t="s">
        <v>952</v>
      </c>
      <c r="C79" s="119">
        <v>1136</v>
      </c>
      <c r="D79" s="32" t="s">
        <v>953</v>
      </c>
    </row>
    <row r="80" spans="2:8" ht="15" customHeight="1" x14ac:dyDescent="0.3">
      <c r="B80" s="30" t="s">
        <v>954</v>
      </c>
      <c r="C80" s="144">
        <v>3.3</v>
      </c>
      <c r="D80" s="32" t="s">
        <v>955</v>
      </c>
    </row>
    <row r="81" spans="2:9" ht="15" customHeight="1" x14ac:dyDescent="0.3">
      <c r="B81" s="30" t="s">
        <v>956</v>
      </c>
      <c r="C81" s="118">
        <f>C79/C78</f>
        <v>2.1433962264150943</v>
      </c>
      <c r="D81" s="32" t="s">
        <v>893</v>
      </c>
    </row>
    <row r="82" spans="2:9" ht="15" customHeight="1" x14ac:dyDescent="0.3">
      <c r="B82" s="30" t="s">
        <v>957</v>
      </c>
      <c r="C82" s="117">
        <f>C81^(1/C80)-1</f>
        <v>0.25989420779916572</v>
      </c>
      <c r="D82" s="32" t="s">
        <v>893</v>
      </c>
    </row>
    <row r="84" spans="2:9" ht="15" customHeight="1" x14ac:dyDescent="0.3">
      <c r="B84" s="195" t="s">
        <v>958</v>
      </c>
      <c r="C84" s="198"/>
      <c r="D84" s="198"/>
      <c r="E84" s="198"/>
      <c r="F84" s="198"/>
      <c r="G84" s="198"/>
      <c r="H84" s="196"/>
    </row>
    <row r="85" spans="2:9" ht="15" customHeight="1" x14ac:dyDescent="0.3">
      <c r="B85" s="209" t="s">
        <v>959</v>
      </c>
      <c r="C85" s="198"/>
      <c r="D85" s="198"/>
      <c r="E85" s="198"/>
      <c r="F85" s="198"/>
      <c r="G85" s="198"/>
      <c r="H85" s="198"/>
      <c r="I85" s="196"/>
    </row>
    <row r="86" spans="2:9" ht="15" customHeight="1" x14ac:dyDescent="0.3">
      <c r="B86" s="197" t="s">
        <v>960</v>
      </c>
      <c r="C86" s="198"/>
      <c r="D86" s="198"/>
      <c r="E86" s="198"/>
      <c r="F86" s="198"/>
      <c r="G86" s="198"/>
      <c r="H86" s="198"/>
      <c r="I86" s="196"/>
    </row>
    <row r="87" spans="2:9" ht="15" customHeight="1" x14ac:dyDescent="0.3">
      <c r="B87" s="197" t="s">
        <v>961</v>
      </c>
      <c r="C87" s="198"/>
      <c r="D87" s="198"/>
      <c r="E87" s="198"/>
      <c r="F87" s="198"/>
      <c r="G87" s="198"/>
      <c r="H87" s="198"/>
      <c r="I87" s="196"/>
    </row>
    <row r="88" spans="2:9" ht="15" customHeight="1" x14ac:dyDescent="0.3">
      <c r="B88" s="197" t="s">
        <v>962</v>
      </c>
      <c r="C88" s="198"/>
      <c r="D88" s="198"/>
      <c r="E88" s="198"/>
      <c r="F88" s="198"/>
      <c r="G88" s="198"/>
      <c r="H88" s="198"/>
      <c r="I88" s="196"/>
    </row>
    <row r="89" spans="2:9" ht="15" customHeight="1" x14ac:dyDescent="0.3">
      <c r="B89" s="197" t="s">
        <v>963</v>
      </c>
      <c r="C89" s="198"/>
      <c r="D89" s="198"/>
      <c r="E89" s="198"/>
      <c r="F89" s="198"/>
      <c r="G89" s="198"/>
      <c r="H89" s="198"/>
      <c r="I89" s="196"/>
    </row>
    <row r="90" spans="2:9" ht="15" customHeight="1" x14ac:dyDescent="0.3">
      <c r="B90" s="197" t="s">
        <v>964</v>
      </c>
      <c r="C90" s="198"/>
      <c r="D90" s="198"/>
      <c r="E90" s="198"/>
      <c r="F90" s="198"/>
      <c r="G90" s="198"/>
      <c r="H90" s="198"/>
      <c r="I90" s="196"/>
    </row>
    <row r="92" spans="2:9" ht="14.25" customHeight="1" x14ac:dyDescent="0.3">
      <c r="B92" s="33" t="s">
        <v>965</v>
      </c>
    </row>
    <row r="93" spans="2:9" ht="14.25" customHeight="1" x14ac:dyDescent="0.3">
      <c r="B93" s="36" t="s">
        <v>966</v>
      </c>
    </row>
    <row r="94" spans="2:9" ht="55.5" customHeight="1" x14ac:dyDescent="0.3">
      <c r="B94" s="54" t="s">
        <v>967</v>
      </c>
    </row>
    <row r="95" spans="2:9" ht="14.25" customHeight="1" x14ac:dyDescent="0.3">
      <c r="B95" s="145" t="s">
        <v>968</v>
      </c>
    </row>
    <row r="100" spans="2:4" ht="14.25" customHeight="1" x14ac:dyDescent="0.3">
      <c r="B100" s="33" t="s">
        <v>969</v>
      </c>
    </row>
    <row r="101" spans="2:4" ht="36.75" customHeight="1" x14ac:dyDescent="0.3">
      <c r="B101" s="54" t="s">
        <v>970</v>
      </c>
    </row>
    <row r="103" spans="2:4" ht="14.25" customHeight="1" x14ac:dyDescent="0.3">
      <c r="B103" s="57" t="s">
        <v>971</v>
      </c>
      <c r="C103" s="129">
        <v>0.1</v>
      </c>
      <c r="D103" s="36" t="s">
        <v>972</v>
      </c>
    </row>
    <row r="104" spans="2:4" ht="14.25" customHeight="1" x14ac:dyDescent="0.3">
      <c r="B104" s="57" t="s">
        <v>973</v>
      </c>
      <c r="C104" s="146">
        <v>2</v>
      </c>
      <c r="D104" s="36" t="s">
        <v>974</v>
      </c>
    </row>
    <row r="105" spans="2:4" ht="14.25" customHeight="1" x14ac:dyDescent="0.3">
      <c r="B105" s="57" t="s">
        <v>975</v>
      </c>
      <c r="C105" s="37" t="s">
        <v>976</v>
      </c>
      <c r="D105" s="36" t="s">
        <v>977</v>
      </c>
    </row>
    <row r="107" spans="2:4" ht="14.25" customHeight="1" x14ac:dyDescent="0.3">
      <c r="B107" s="57" t="s">
        <v>978</v>
      </c>
      <c r="C107" s="57">
        <f>15*H41-H61</f>
        <v>1207.1268972000005</v>
      </c>
      <c r="D107" s="36" t="s">
        <v>979</v>
      </c>
    </row>
    <row r="108" spans="2:4" ht="14.25" customHeight="1" x14ac:dyDescent="0.3">
      <c r="B108" s="57" t="s">
        <v>980</v>
      </c>
      <c r="C108" s="57">
        <f>MAX(0,(C107-C104*C9)*C103)</f>
        <v>0</v>
      </c>
      <c r="D108" s="36" t="s">
        <v>981</v>
      </c>
    </row>
    <row r="109" spans="2:4" ht="14.25" customHeight="1" x14ac:dyDescent="0.3">
      <c r="B109" s="59" t="s">
        <v>982</v>
      </c>
      <c r="C109" s="59">
        <f>C107-C108</f>
        <v>1207.1268972000005</v>
      </c>
    </row>
    <row r="110" spans="2:4" ht="14.25" customHeight="1" x14ac:dyDescent="0.3">
      <c r="B110" s="57" t="s">
        <v>983</v>
      </c>
      <c r="C110" s="85">
        <f>C107/C9</f>
        <v>1.5717798140625006</v>
      </c>
    </row>
    <row r="111" spans="2:4" ht="14.25" customHeight="1" x14ac:dyDescent="0.3">
      <c r="B111" s="59" t="s">
        <v>28</v>
      </c>
      <c r="C111" s="147">
        <f>C109/C9</f>
        <v>1.5717798140625006</v>
      </c>
    </row>
    <row r="112" spans="2:4" ht="14.25" customHeight="1" x14ac:dyDescent="0.3">
      <c r="B112" s="59" t="s">
        <v>30</v>
      </c>
      <c r="C112" s="148">
        <f>(C109/C9)^(1/5)-1</f>
        <v>9.465771281073776E-2</v>
      </c>
    </row>
    <row r="113" spans="2:6" ht="14.25" customHeight="1" x14ac:dyDescent="0.3">
      <c r="B113" s="57" t="s">
        <v>984</v>
      </c>
      <c r="C113" s="85">
        <f>C110-C111</f>
        <v>0</v>
      </c>
      <c r="D113" s="36" t="s">
        <v>985</v>
      </c>
    </row>
    <row r="116" spans="2:6" ht="14.25" customHeight="1" x14ac:dyDescent="0.3">
      <c r="B116" s="33" t="s">
        <v>986</v>
      </c>
    </row>
    <row r="117" spans="2:6" ht="45.75" customHeight="1" x14ac:dyDescent="0.3">
      <c r="B117" s="54" t="s">
        <v>987</v>
      </c>
    </row>
    <row r="119" spans="2:6" ht="14.25" customHeight="1" x14ac:dyDescent="0.3">
      <c r="B119" s="53" t="s">
        <v>988</v>
      </c>
      <c r="C119" s="55" t="s">
        <v>22</v>
      </c>
      <c r="D119" s="149" t="s">
        <v>23</v>
      </c>
      <c r="E119" s="62" t="s">
        <v>24</v>
      </c>
      <c r="F119" s="53" t="s">
        <v>989</v>
      </c>
    </row>
    <row r="120" spans="2:6" ht="14.25" customHeight="1" x14ac:dyDescent="0.3">
      <c r="B120" s="57" t="s">
        <v>990</v>
      </c>
      <c r="C120" s="150">
        <v>0.08</v>
      </c>
      <c r="D120" s="151">
        <v>0.12</v>
      </c>
      <c r="E120" s="150">
        <v>0.03</v>
      </c>
      <c r="F120" s="36" t="s">
        <v>991</v>
      </c>
    </row>
    <row r="121" spans="2:6" ht="14.25" customHeight="1" x14ac:dyDescent="0.3">
      <c r="B121" s="57" t="s">
        <v>992</v>
      </c>
      <c r="C121" s="150">
        <v>0.05</v>
      </c>
      <c r="D121" s="151">
        <v>0.08</v>
      </c>
      <c r="E121" s="150">
        <v>0.02</v>
      </c>
      <c r="F121" s="36" t="s">
        <v>993</v>
      </c>
    </row>
    <row r="122" spans="2:6" ht="14.25" customHeight="1" x14ac:dyDescent="0.3">
      <c r="B122" s="57" t="s">
        <v>994</v>
      </c>
      <c r="C122" s="150">
        <v>0.4</v>
      </c>
      <c r="D122" s="151">
        <v>0.42</v>
      </c>
      <c r="E122" s="150">
        <v>0.35</v>
      </c>
      <c r="F122" s="36" t="s">
        <v>995</v>
      </c>
    </row>
    <row r="124" spans="2:6" ht="14.25" customHeight="1" x14ac:dyDescent="0.3">
      <c r="B124" s="57" t="s">
        <v>996</v>
      </c>
      <c r="C124" s="61">
        <f>$C$24*(1+C120)^2*(1+C121)^3</f>
        <v>201.18781620000004</v>
      </c>
      <c r="D124" s="152">
        <f>$C$24*(1+D120)^2*(1+D121)^3</f>
        <v>235.44722718720007</v>
      </c>
      <c r="E124" s="61">
        <f>$C$24*(1+E120)^2*(1+E121)^3</f>
        <v>167.74949951279999</v>
      </c>
      <c r="F124" s="36" t="s">
        <v>997</v>
      </c>
    </row>
    <row r="125" spans="2:6" ht="14.25" customHeight="1" x14ac:dyDescent="0.3">
      <c r="B125" s="57" t="s">
        <v>998</v>
      </c>
      <c r="C125" s="61">
        <f>C124*C122</f>
        <v>80.475126480000029</v>
      </c>
      <c r="D125" s="152">
        <f>D124*D122</f>
        <v>98.887835418624022</v>
      </c>
      <c r="E125" s="61">
        <f>E124*E122</f>
        <v>58.712324829479989</v>
      </c>
      <c r="F125" s="36" t="s">
        <v>999</v>
      </c>
    </row>
    <row r="126" spans="2:6" ht="14.25" customHeight="1" x14ac:dyDescent="0.3">
      <c r="B126" s="57" t="s">
        <v>1000</v>
      </c>
      <c r="C126" s="80">
        <f>H61</f>
        <v>0</v>
      </c>
      <c r="D126" s="153">
        <f>H61</f>
        <v>0</v>
      </c>
      <c r="E126" s="56">
        <v>10</v>
      </c>
      <c r="F126" s="36" t="s">
        <v>1001</v>
      </c>
    </row>
    <row r="127" spans="2:6" ht="14.25" customHeight="1" x14ac:dyDescent="0.3">
      <c r="B127" s="57" t="s">
        <v>1002</v>
      </c>
      <c r="C127" s="61">
        <f>15*C125</f>
        <v>1207.1268972000005</v>
      </c>
      <c r="D127" s="152">
        <f>15*D125</f>
        <v>1483.3175312793603</v>
      </c>
      <c r="E127" s="61">
        <f>15*E125</f>
        <v>880.68487244219989</v>
      </c>
      <c r="F127" s="36" t="s">
        <v>1003</v>
      </c>
    </row>
    <row r="128" spans="2:6" ht="14.25" customHeight="1" x14ac:dyDescent="0.3">
      <c r="B128" s="57" t="s">
        <v>1004</v>
      </c>
      <c r="C128" s="61">
        <f>C127-C126</f>
        <v>1207.1268972000005</v>
      </c>
      <c r="D128" s="152">
        <f>D127-D126</f>
        <v>1483.3175312793603</v>
      </c>
      <c r="E128" s="61">
        <f>E127-E126</f>
        <v>870.68487244219989</v>
      </c>
      <c r="F128" s="36" t="s">
        <v>1005</v>
      </c>
    </row>
    <row r="129" spans="2:6" ht="14.25" customHeight="1" x14ac:dyDescent="0.3">
      <c r="B129" s="57" t="s">
        <v>1006</v>
      </c>
      <c r="C129" s="61">
        <f>MAX(0,(C128-$C$104*$C$9)*$C$103)</f>
        <v>0</v>
      </c>
      <c r="D129" s="152">
        <f>MAX(0,(D128-$C$104*$C$9)*$C$103)</f>
        <v>0</v>
      </c>
      <c r="E129" s="61">
        <f>MAX(0,(E128-$C$104*$C$9)*$C$103)</f>
        <v>0</v>
      </c>
      <c r="F129" s="36" t="s">
        <v>1007</v>
      </c>
    </row>
    <row r="130" spans="2:6" ht="14.25" customHeight="1" x14ac:dyDescent="0.3">
      <c r="B130" s="59" t="s">
        <v>1008</v>
      </c>
      <c r="C130" s="60">
        <f>C128-C129</f>
        <v>1207.1268972000005</v>
      </c>
      <c r="D130" s="60">
        <f>D128-D129</f>
        <v>1483.3175312793603</v>
      </c>
      <c r="E130" s="60">
        <f>E128-E129</f>
        <v>870.68487244219989</v>
      </c>
    </row>
    <row r="131" spans="2:6" ht="14.25" customHeight="1" x14ac:dyDescent="0.3">
      <c r="B131" s="59" t="s">
        <v>1009</v>
      </c>
      <c r="C131" s="147">
        <f>C130/$C$9</f>
        <v>1.5717798140625006</v>
      </c>
      <c r="D131" s="147">
        <f>D130/$C$9</f>
        <v>1.9314030355200005</v>
      </c>
      <c r="E131" s="147">
        <f>E130/$C$9</f>
        <v>1.1337042609924477</v>
      </c>
    </row>
    <row r="132" spans="2:6" ht="14.25" customHeight="1" x14ac:dyDescent="0.3">
      <c r="B132" s="59" t="s">
        <v>1010</v>
      </c>
      <c r="C132" s="148">
        <f>IF(C130&lt;=0,"N/A",(C130/$C$9)^(1/5)-1)</f>
        <v>9.465771281073776E-2</v>
      </c>
      <c r="D132" s="148">
        <f>IF(D130&lt;=0,"N/A",(D130/$C$9)^(1/5)-1)</f>
        <v>0.14070824842218888</v>
      </c>
      <c r="E132" s="148">
        <f>IF(E130&lt;=0,"N/A",(E130/$C$9)^(1/5)-1)</f>
        <v>2.541568395753635E-2</v>
      </c>
    </row>
    <row r="134" spans="2:6" ht="48" customHeight="1" x14ac:dyDescent="0.3">
      <c r="B134" s="54" t="s">
        <v>1011</v>
      </c>
    </row>
    <row r="137" spans="2:6" ht="14.25" customHeight="1" x14ac:dyDescent="0.3">
      <c r="B137" s="33" t="s">
        <v>1012</v>
      </c>
    </row>
    <row r="138" spans="2:6" ht="45.75" customHeight="1" x14ac:dyDescent="0.3">
      <c r="B138" s="54" t="s">
        <v>1013</v>
      </c>
    </row>
    <row r="140" spans="2:6" ht="14.25" customHeight="1" x14ac:dyDescent="0.3">
      <c r="B140" s="34" t="s">
        <v>1014</v>
      </c>
    </row>
    <row r="141" spans="2:6" ht="14.25" customHeight="1" x14ac:dyDescent="0.3">
      <c r="B141" s="57" t="s">
        <v>1015</v>
      </c>
      <c r="C141" s="80">
        <f>C9</f>
        <v>768</v>
      </c>
      <c r="D141" s="36" t="s">
        <v>1016</v>
      </c>
    </row>
    <row r="142" spans="2:6" ht="14.25" customHeight="1" x14ac:dyDescent="0.3">
      <c r="B142" s="57" t="s">
        <v>1017</v>
      </c>
      <c r="C142" s="61">
        <f>C21*C20</f>
        <v>903</v>
      </c>
      <c r="D142" s="36" t="s">
        <v>1018</v>
      </c>
    </row>
    <row r="143" spans="2:6" ht="14.25" customHeight="1" x14ac:dyDescent="0.3">
      <c r="B143" s="57" t="s">
        <v>1019</v>
      </c>
      <c r="C143" s="61">
        <f>C21*H41</f>
        <v>1223.3844985090914</v>
      </c>
      <c r="D143" s="36" t="s">
        <v>1020</v>
      </c>
    </row>
    <row r="144" spans="2:6" ht="14.25" customHeight="1" x14ac:dyDescent="0.3">
      <c r="B144" s="57" t="s">
        <v>1021</v>
      </c>
      <c r="C144" s="61">
        <f>15*H41</f>
        <v>1207.1268972000005</v>
      </c>
      <c r="D144" s="36" t="s">
        <v>1022</v>
      </c>
    </row>
    <row r="145" spans="2:4" ht="14.25" customHeight="1" x14ac:dyDescent="0.3">
      <c r="B145" s="57" t="s">
        <v>1023</v>
      </c>
      <c r="C145" s="61">
        <f>C144-H61</f>
        <v>1207.1268972000005</v>
      </c>
      <c r="D145" s="36" t="s">
        <v>1005</v>
      </c>
    </row>
    <row r="147" spans="2:4" ht="14.25" customHeight="1" x14ac:dyDescent="0.3">
      <c r="B147" s="34" t="s">
        <v>1024</v>
      </c>
    </row>
    <row r="148" spans="2:4" ht="14.25" customHeight="1" x14ac:dyDescent="0.3">
      <c r="B148" s="57" t="s">
        <v>1025</v>
      </c>
      <c r="C148" s="61">
        <f>C143-C142</f>
        <v>320.38449850909137</v>
      </c>
      <c r="D148" s="36" t="s">
        <v>1026</v>
      </c>
    </row>
    <row r="149" spans="2:4" ht="14.25" customHeight="1" x14ac:dyDescent="0.3">
      <c r="B149" s="57" t="s">
        <v>1027</v>
      </c>
      <c r="C149" s="61">
        <f>C144-C143</f>
        <v>-16.257601309090887</v>
      </c>
      <c r="D149" s="36" t="s">
        <v>1028</v>
      </c>
    </row>
    <row r="150" spans="2:4" ht="14.25" customHeight="1" x14ac:dyDescent="0.3">
      <c r="B150" s="57" t="s">
        <v>1029</v>
      </c>
      <c r="C150" s="61">
        <f>C8-H61</f>
        <v>132</v>
      </c>
      <c r="D150" s="36" t="s">
        <v>1030</v>
      </c>
    </row>
    <row r="151" spans="2:4" ht="14.25" customHeight="1" x14ac:dyDescent="0.3">
      <c r="B151" s="59" t="s">
        <v>1031</v>
      </c>
      <c r="C151" s="60">
        <f>C148+C149+C150</f>
        <v>436.12689720000049</v>
      </c>
      <c r="D151" s="36" t="s">
        <v>1032</v>
      </c>
    </row>
    <row r="152" spans="2:4" ht="14.25" customHeight="1" x14ac:dyDescent="0.3">
      <c r="B152" s="57" t="s">
        <v>1033</v>
      </c>
      <c r="C152" s="61">
        <f>C145-C141</f>
        <v>439.12689720000049</v>
      </c>
      <c r="D152" s="36" t="s">
        <v>1034</v>
      </c>
    </row>
    <row r="154" spans="2:4" ht="14.25" customHeight="1" x14ac:dyDescent="0.3">
      <c r="B154" s="34" t="s">
        <v>1035</v>
      </c>
    </row>
    <row r="155" spans="2:4" ht="14.25" customHeight="1" x14ac:dyDescent="0.3">
      <c r="B155" s="57" t="s">
        <v>1036</v>
      </c>
      <c r="C155" s="83">
        <f>C148/C151</f>
        <v>0.73461302333336354</v>
      </c>
      <c r="D155" s="36" t="s">
        <v>1037</v>
      </c>
    </row>
    <row r="156" spans="2:4" ht="14.25" customHeight="1" x14ac:dyDescent="0.3">
      <c r="B156" s="57" t="s">
        <v>1038</v>
      </c>
      <c r="C156" s="83">
        <f>C149/C151</f>
        <v>-3.7277226911403775E-2</v>
      </c>
      <c r="D156" s="36" t="s">
        <v>1039</v>
      </c>
    </row>
    <row r="157" spans="2:4" ht="14.25" customHeight="1" x14ac:dyDescent="0.3">
      <c r="B157" s="57" t="s">
        <v>1040</v>
      </c>
      <c r="C157" s="83">
        <f>C150/C151</f>
        <v>0.3026642035780403</v>
      </c>
      <c r="D157" s="36" t="s">
        <v>1041</v>
      </c>
    </row>
    <row r="159" spans="2:4" ht="60" customHeight="1" x14ac:dyDescent="0.3">
      <c r="B159" s="54" t="s">
        <v>1042</v>
      </c>
    </row>
    <row r="162" spans="2:9" ht="14.25" customHeight="1" x14ac:dyDescent="0.3">
      <c r="B162" s="33" t="s">
        <v>1043</v>
      </c>
    </row>
    <row r="163" spans="2:9" ht="48" customHeight="1" x14ac:dyDescent="0.3">
      <c r="B163" s="54" t="s">
        <v>1044</v>
      </c>
    </row>
    <row r="165" spans="2:9" ht="14.25" customHeight="1" x14ac:dyDescent="0.3">
      <c r="B165" s="53" t="s">
        <v>1045</v>
      </c>
      <c r="C165" s="154">
        <v>12</v>
      </c>
      <c r="D165" s="154">
        <v>13</v>
      </c>
      <c r="E165" s="154">
        <v>14</v>
      </c>
      <c r="F165" s="154">
        <v>15</v>
      </c>
      <c r="G165" s="154">
        <v>16</v>
      </c>
      <c r="H165" s="154">
        <v>17</v>
      </c>
      <c r="I165" s="154">
        <v>18</v>
      </c>
    </row>
    <row r="166" spans="2:9" ht="14.25" customHeight="1" x14ac:dyDescent="0.3">
      <c r="B166" s="155">
        <v>13</v>
      </c>
      <c r="C166" s="156">
        <f t="shared" ref="C166:I171" si="12">((C$165*$H$41-$H$61)-MAX(0,((C$165*$H$41-$H$61)-$C$104*($B166*$C$20-103.4))*$C$103))/($B166*$C$20-103.4)</f>
        <v>1.4439316952153116</v>
      </c>
      <c r="D166" s="156">
        <f t="shared" si="12"/>
        <v>1.5642593364832542</v>
      </c>
      <c r="E166" s="156">
        <f t="shared" si="12"/>
        <v>1.684586977751197</v>
      </c>
      <c r="F166" s="156">
        <f t="shared" si="12"/>
        <v>1.8049146190191396</v>
      </c>
      <c r="G166" s="156">
        <f t="shared" si="12"/>
        <v>1.9252422602870822</v>
      </c>
      <c r="H166" s="156">
        <f t="shared" si="12"/>
        <v>2.0410129113995223</v>
      </c>
      <c r="I166" s="156">
        <f t="shared" si="12"/>
        <v>2.1493077885406704</v>
      </c>
    </row>
    <row r="167" spans="2:9" ht="14.25" customHeight="1" x14ac:dyDescent="0.3">
      <c r="B167" s="155">
        <v>14</v>
      </c>
      <c r="C167" s="156">
        <f t="shared" si="12"/>
        <v>1.3261487472672346</v>
      </c>
      <c r="D167" s="156">
        <f t="shared" si="12"/>
        <v>1.4366611428728375</v>
      </c>
      <c r="E167" s="156">
        <f t="shared" si="12"/>
        <v>1.5471735384784406</v>
      </c>
      <c r="F167" s="156">
        <f t="shared" si="12"/>
        <v>1.6576859340840433</v>
      </c>
      <c r="G167" s="156">
        <f t="shared" si="12"/>
        <v>1.7681983296896462</v>
      </c>
      <c r="H167" s="156">
        <f t="shared" si="12"/>
        <v>1.8787107252952491</v>
      </c>
      <c r="I167" s="156">
        <f t="shared" si="12"/>
        <v>1.9892231209008517</v>
      </c>
    </row>
    <row r="168" spans="2:9" ht="14.25" customHeight="1" x14ac:dyDescent="0.3">
      <c r="B168" s="155">
        <v>15</v>
      </c>
      <c r="C168" s="156">
        <f t="shared" si="12"/>
        <v>1.2261319423057393</v>
      </c>
      <c r="D168" s="156">
        <f t="shared" si="12"/>
        <v>1.3283096041645508</v>
      </c>
      <c r="E168" s="156">
        <f t="shared" si="12"/>
        <v>1.4304872660233627</v>
      </c>
      <c r="F168" s="156">
        <f t="shared" si="12"/>
        <v>1.5326649278821742</v>
      </c>
      <c r="G168" s="156">
        <f t="shared" si="12"/>
        <v>1.6348425897409857</v>
      </c>
      <c r="H168" s="156">
        <f t="shared" si="12"/>
        <v>1.7370202515997974</v>
      </c>
      <c r="I168" s="156">
        <f t="shared" si="12"/>
        <v>1.8391979134586089</v>
      </c>
    </row>
    <row r="169" spans="2:9" ht="14.25" customHeight="1" x14ac:dyDescent="0.3">
      <c r="B169" s="155">
        <v>16</v>
      </c>
      <c r="C169" s="156">
        <f t="shared" si="12"/>
        <v>1.1401434684297524</v>
      </c>
      <c r="D169" s="156">
        <f t="shared" si="12"/>
        <v>1.2351554241322318</v>
      </c>
      <c r="E169" s="156">
        <f t="shared" si="12"/>
        <v>1.3301673798347113</v>
      </c>
      <c r="F169" s="156">
        <f t="shared" si="12"/>
        <v>1.4251793355371907</v>
      </c>
      <c r="G169" s="156">
        <f t="shared" si="12"/>
        <v>1.52019129123967</v>
      </c>
      <c r="H169" s="156">
        <f t="shared" si="12"/>
        <v>1.6152032469421493</v>
      </c>
      <c r="I169" s="156">
        <f t="shared" si="12"/>
        <v>1.7102152026446287</v>
      </c>
    </row>
    <row r="170" spans="2:9" ht="14.25" customHeight="1" x14ac:dyDescent="0.3">
      <c r="B170" s="155">
        <v>17</v>
      </c>
      <c r="C170" s="156">
        <f t="shared" si="12"/>
        <v>1.0654253285083852</v>
      </c>
      <c r="D170" s="156">
        <f t="shared" si="12"/>
        <v>1.1542107725507507</v>
      </c>
      <c r="E170" s="156">
        <f t="shared" si="12"/>
        <v>1.2429962165931163</v>
      </c>
      <c r="F170" s="156">
        <f t="shared" si="12"/>
        <v>1.3317816606354815</v>
      </c>
      <c r="G170" s="156">
        <f t="shared" si="12"/>
        <v>1.420567104677847</v>
      </c>
      <c r="H170" s="156">
        <f t="shared" si="12"/>
        <v>1.5093525487202124</v>
      </c>
      <c r="I170" s="156">
        <f t="shared" si="12"/>
        <v>1.5981379927625776</v>
      </c>
    </row>
    <row r="171" spans="2:9" ht="14.25" customHeight="1" x14ac:dyDescent="0.3">
      <c r="B171" s="155">
        <v>18</v>
      </c>
      <c r="C171" s="156">
        <f t="shared" si="12"/>
        <v>0.99989803039966896</v>
      </c>
      <c r="D171" s="156">
        <f t="shared" si="12"/>
        <v>1.0832228662663079</v>
      </c>
      <c r="E171" s="156">
        <f t="shared" si="12"/>
        <v>1.1665477021329473</v>
      </c>
      <c r="F171" s="156">
        <f t="shared" si="12"/>
        <v>1.2498725379995863</v>
      </c>
      <c r="G171" s="156">
        <f t="shared" si="12"/>
        <v>1.3331973738662253</v>
      </c>
      <c r="H171" s="156">
        <f t="shared" si="12"/>
        <v>1.4165222097328642</v>
      </c>
      <c r="I171" s="156">
        <f t="shared" si="12"/>
        <v>1.4998470455995032</v>
      </c>
    </row>
    <row r="173" spans="2:9" ht="48" customHeight="1" x14ac:dyDescent="0.3">
      <c r="B173" s="54" t="s">
        <v>1046</v>
      </c>
    </row>
    <row r="176" spans="2:9" ht="14.25" customHeight="1" x14ac:dyDescent="0.3">
      <c r="B176" s="33" t="s">
        <v>1047</v>
      </c>
    </row>
    <row r="177" spans="2:4" ht="36" customHeight="1" x14ac:dyDescent="0.3">
      <c r="B177" s="54" t="s">
        <v>1048</v>
      </c>
    </row>
    <row r="179" spans="2:4" ht="14.25" customHeight="1" x14ac:dyDescent="0.3">
      <c r="B179" s="53" t="s">
        <v>1049</v>
      </c>
    </row>
    <row r="180" spans="2:4" ht="14.25" customHeight="1" x14ac:dyDescent="0.3">
      <c r="B180" s="57" t="s">
        <v>1050</v>
      </c>
      <c r="C180" s="61">
        <f>15*H41</f>
        <v>1207.1268972000005</v>
      </c>
      <c r="D180" s="36" t="s">
        <v>1051</v>
      </c>
    </row>
    <row r="181" spans="2:4" ht="14.25" customHeight="1" x14ac:dyDescent="0.3">
      <c r="B181" s="57" t="s">
        <v>1052</v>
      </c>
      <c r="C181" s="61">
        <f>-H61</f>
        <v>0</v>
      </c>
      <c r="D181" s="36" t="s">
        <v>1053</v>
      </c>
    </row>
    <row r="182" spans="2:4" ht="14.25" customHeight="1" x14ac:dyDescent="0.3">
      <c r="B182" s="57" t="s">
        <v>1054</v>
      </c>
      <c r="C182" s="157">
        <v>25</v>
      </c>
      <c r="D182" s="36" t="s">
        <v>1055</v>
      </c>
    </row>
    <row r="183" spans="2:4" ht="14.25" customHeight="1" x14ac:dyDescent="0.3">
      <c r="B183" s="57" t="s">
        <v>1056</v>
      </c>
      <c r="C183" s="61">
        <f>-C180*0.015</f>
        <v>-18.106903458000005</v>
      </c>
      <c r="D183" s="36" t="s">
        <v>1057</v>
      </c>
    </row>
    <row r="184" spans="2:4" ht="14.25" customHeight="1" x14ac:dyDescent="0.3">
      <c r="B184" s="57" t="s">
        <v>1058</v>
      </c>
      <c r="C184" s="157">
        <v>0</v>
      </c>
      <c r="D184" s="36" t="s">
        <v>1059</v>
      </c>
    </row>
    <row r="185" spans="2:4" ht="14.25" customHeight="1" x14ac:dyDescent="0.3">
      <c r="B185" s="57" t="s">
        <v>1060</v>
      </c>
      <c r="C185" s="61">
        <f>-(C180+C181+C182+C183+C184)*0.02</f>
        <v>-24.280399874840011</v>
      </c>
      <c r="D185" s="36" t="s">
        <v>1061</v>
      </c>
    </row>
    <row r="186" spans="2:4" ht="14.25" customHeight="1" x14ac:dyDescent="0.3">
      <c r="B186" s="59" t="s">
        <v>1062</v>
      </c>
      <c r="C186" s="60">
        <f>SUM(C180:C185)</f>
        <v>1189.7395938671605</v>
      </c>
    </row>
    <row r="187" spans="2:4" ht="14.25" customHeight="1" x14ac:dyDescent="0.3">
      <c r="B187" s="57" t="s">
        <v>1063</v>
      </c>
      <c r="C187" s="61">
        <f>-MAX(0,(C186-C104*C9)*C103)</f>
        <v>0</v>
      </c>
      <c r="D187" s="36" t="s">
        <v>1064</v>
      </c>
    </row>
    <row r="188" spans="2:4" ht="14.25" customHeight="1" x14ac:dyDescent="0.3">
      <c r="B188" s="59" t="s">
        <v>1065</v>
      </c>
      <c r="C188" s="60">
        <f>C186+C187</f>
        <v>1189.7395938671605</v>
      </c>
    </row>
    <row r="189" spans="2:4" ht="14.25" customHeight="1" x14ac:dyDescent="0.3">
      <c r="B189" s="59" t="s">
        <v>1066</v>
      </c>
      <c r="C189" s="147">
        <f>C188/C9</f>
        <v>1.5491400961811985</v>
      </c>
    </row>
    <row r="190" spans="2:4" ht="14.25" customHeight="1" x14ac:dyDescent="0.3">
      <c r="B190" s="59" t="s">
        <v>1067</v>
      </c>
      <c r="C190" s="148">
        <f>IF(C188&lt;=0,"N/A",(C188/C9)^(1/5)-1)</f>
        <v>9.1485923078373776E-2</v>
      </c>
    </row>
    <row r="192" spans="2:4" ht="36" customHeight="1" x14ac:dyDescent="0.3">
      <c r="B192" s="54" t="s">
        <v>1068</v>
      </c>
    </row>
    <row r="195" spans="2:4" ht="14.25" customHeight="1" x14ac:dyDescent="0.3">
      <c r="B195" s="33" t="s">
        <v>1069</v>
      </c>
    </row>
    <row r="196" spans="2:4" ht="48" customHeight="1" x14ac:dyDescent="0.3">
      <c r="B196" s="54" t="s">
        <v>1070</v>
      </c>
    </row>
    <row r="198" spans="2:4" ht="14.25" customHeight="1" x14ac:dyDescent="0.3">
      <c r="B198" s="53" t="s">
        <v>1071</v>
      </c>
    </row>
    <row r="199" spans="2:4" ht="14.25" customHeight="1" x14ac:dyDescent="0.3">
      <c r="B199" s="57" t="s">
        <v>1072</v>
      </c>
      <c r="C199" s="129">
        <v>0.02</v>
      </c>
      <c r="D199" s="36" t="s">
        <v>1073</v>
      </c>
    </row>
    <row r="200" spans="2:4" ht="14.25" customHeight="1" x14ac:dyDescent="0.3">
      <c r="B200" s="57" t="s">
        <v>1074</v>
      </c>
      <c r="C200" s="129">
        <v>0.08</v>
      </c>
      <c r="D200" s="36" t="s">
        <v>1075</v>
      </c>
    </row>
    <row r="201" spans="2:4" ht="14.25" customHeight="1" x14ac:dyDescent="0.3">
      <c r="B201" s="57" t="s">
        <v>1076</v>
      </c>
      <c r="C201" s="129">
        <v>0.2</v>
      </c>
      <c r="D201" s="36" t="s">
        <v>1077</v>
      </c>
    </row>
    <row r="202" spans="2:4" ht="14.25" customHeight="1" x14ac:dyDescent="0.3">
      <c r="B202" s="57" t="s">
        <v>1078</v>
      </c>
      <c r="C202" s="129">
        <v>1</v>
      </c>
      <c r="D202" s="36" t="s">
        <v>1079</v>
      </c>
    </row>
    <row r="203" spans="2:4" ht="14.25" customHeight="1" x14ac:dyDescent="0.3">
      <c r="B203" s="57" t="s">
        <v>1080</v>
      </c>
      <c r="C203" s="158">
        <v>5</v>
      </c>
    </row>
    <row r="205" spans="2:4" ht="14.25" customHeight="1" x14ac:dyDescent="0.3">
      <c r="B205" s="53" t="s">
        <v>1081</v>
      </c>
    </row>
    <row r="206" spans="2:4" ht="14.25" customHeight="1" x14ac:dyDescent="0.3">
      <c r="B206" s="57" t="s">
        <v>1082</v>
      </c>
      <c r="C206" s="80">
        <f>C9</f>
        <v>768</v>
      </c>
    </row>
    <row r="207" spans="2:4" ht="14.25" customHeight="1" x14ac:dyDescent="0.3">
      <c r="B207" s="57" t="s">
        <v>1083</v>
      </c>
      <c r="C207" s="80">
        <f>C188</f>
        <v>1189.7395938671605</v>
      </c>
      <c r="D207" s="36" t="s">
        <v>1084</v>
      </c>
    </row>
    <row r="208" spans="2:4" ht="14.25" customHeight="1" x14ac:dyDescent="0.3">
      <c r="B208" s="57" t="s">
        <v>1085</v>
      </c>
      <c r="C208" s="61">
        <f>C207-C206</f>
        <v>421.73959386716047</v>
      </c>
    </row>
    <row r="209" spans="2:4" ht="14.25" customHeight="1" x14ac:dyDescent="0.3">
      <c r="B209" s="57" t="s">
        <v>1086</v>
      </c>
      <c r="C209" s="61">
        <f>-C206*C199*C203</f>
        <v>-76.8</v>
      </c>
      <c r="D209" s="36" t="s">
        <v>1087</v>
      </c>
    </row>
    <row r="210" spans="2:4" ht="14.25" customHeight="1" x14ac:dyDescent="0.3">
      <c r="B210" s="57" t="s">
        <v>1088</v>
      </c>
      <c r="C210" s="61">
        <f>C206*(1+C200)^C203</f>
        <v>1128.4439629824003</v>
      </c>
      <c r="D210" s="36" t="s">
        <v>1089</v>
      </c>
    </row>
    <row r="211" spans="2:4" ht="14.25" customHeight="1" x14ac:dyDescent="0.3">
      <c r="B211" s="57" t="s">
        <v>1090</v>
      </c>
      <c r="C211" s="61">
        <f>MAX(0,C207+C209-C210)</f>
        <v>0</v>
      </c>
      <c r="D211" s="36" t="s">
        <v>1091</v>
      </c>
    </row>
    <row r="212" spans="2:4" ht="14.25" customHeight="1" x14ac:dyDescent="0.3">
      <c r="B212" s="57" t="s">
        <v>1092</v>
      </c>
      <c r="C212" s="61">
        <f>-C211*C201</f>
        <v>0</v>
      </c>
      <c r="D212" s="36" t="s">
        <v>1093</v>
      </c>
    </row>
    <row r="214" spans="2:4" ht="14.25" customHeight="1" x14ac:dyDescent="0.3">
      <c r="B214" s="59" t="s">
        <v>1094</v>
      </c>
      <c r="C214" s="60">
        <f>C207+C209+C212</f>
        <v>1112.9395938671605</v>
      </c>
      <c r="D214" s="36" t="s">
        <v>1095</v>
      </c>
    </row>
    <row r="215" spans="2:4" ht="14.25" customHeight="1" x14ac:dyDescent="0.3">
      <c r="B215" s="59" t="s">
        <v>1096</v>
      </c>
      <c r="C215" s="147">
        <f>C214/C206</f>
        <v>1.4491400961811987</v>
      </c>
    </row>
    <row r="216" spans="2:4" ht="14.25" customHeight="1" x14ac:dyDescent="0.3">
      <c r="B216" s="59" t="s">
        <v>1097</v>
      </c>
      <c r="C216" s="148">
        <f>IF(C214&lt;=0,"N/A",(C214/C206)^(1/C203)-1)</f>
        <v>7.7015800250590516E-2</v>
      </c>
    </row>
    <row r="218" spans="2:4" ht="14.25" customHeight="1" x14ac:dyDescent="0.3">
      <c r="B218" s="53" t="s">
        <v>1098</v>
      </c>
    </row>
    <row r="219" spans="2:4" ht="14.25" customHeight="1" x14ac:dyDescent="0.3">
      <c r="B219" s="62" t="s">
        <v>21</v>
      </c>
      <c r="C219" s="62" t="s">
        <v>948</v>
      </c>
      <c r="D219" s="62" t="s">
        <v>1099</v>
      </c>
    </row>
    <row r="220" spans="2:4" ht="14.25" customHeight="1" x14ac:dyDescent="0.3">
      <c r="B220" s="57" t="s">
        <v>1100</v>
      </c>
      <c r="C220" s="85">
        <f>C186/C9</f>
        <v>1.5491400961811985</v>
      </c>
      <c r="D220" s="83">
        <f>IF(C186&lt;=0,"N/A",(C186/C9)^(1/5)-1)</f>
        <v>9.1485923078373776E-2</v>
      </c>
    </row>
    <row r="221" spans="2:4" ht="14.25" customHeight="1" x14ac:dyDescent="0.3">
      <c r="B221" s="57" t="s">
        <v>1101</v>
      </c>
      <c r="C221" s="159">
        <f>C189</f>
        <v>1.5491400961811985</v>
      </c>
      <c r="D221" s="81">
        <f>C190</f>
        <v>9.1485923078373776E-2</v>
      </c>
    </row>
    <row r="222" spans="2:4" ht="14.25" customHeight="1" x14ac:dyDescent="0.3">
      <c r="B222" s="59" t="s">
        <v>1102</v>
      </c>
      <c r="C222" s="147">
        <f>C215</f>
        <v>1.4491400961811987</v>
      </c>
      <c r="D222" s="148">
        <f>C216</f>
        <v>7.7015800250590516E-2</v>
      </c>
    </row>
    <row r="223" spans="2:4" ht="14.25" customHeight="1" x14ac:dyDescent="0.3">
      <c r="B223" s="57" t="s">
        <v>1103</v>
      </c>
      <c r="C223" s="57"/>
      <c r="D223" s="83">
        <f>D220-D222</f>
        <v>1.4470122827783261E-2</v>
      </c>
    </row>
    <row r="225" spans="2:2" ht="48" customHeight="1" x14ac:dyDescent="0.3">
      <c r="B225" s="54" t="s">
        <v>1104</v>
      </c>
    </row>
  </sheetData>
  <mergeCells count="17">
    <mergeCell ref="B89:I89"/>
    <mergeCell ref="B90:I90"/>
    <mergeCell ref="B38:H38"/>
    <mergeCell ref="B54:H54"/>
    <mergeCell ref="C66:D66"/>
    <mergeCell ref="E66:F66"/>
    <mergeCell ref="G66:H66"/>
    <mergeCell ref="B77:E77"/>
    <mergeCell ref="B85:I85"/>
    <mergeCell ref="B88:I88"/>
    <mergeCell ref="B87:I87"/>
    <mergeCell ref="B18:E18"/>
    <mergeCell ref="B84:H84"/>
    <mergeCell ref="B86:I86"/>
    <mergeCell ref="B4:E4"/>
    <mergeCell ref="B12:E12"/>
    <mergeCell ref="B65:H65"/>
  </mergeCells>
  <printOptions horizontalCentered="1"/>
  <pageMargins left="0.4" right="0.4" top="0.4" bottom="0.4" header="0.511811023622047" footer="0.511811023622047"/>
  <pageSetup orientation="landscape"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2E75B6"/>
  </sheetPr>
  <dimension ref="A1:F31"/>
  <sheetViews>
    <sheetView topLeftCell="A24" zoomScaleNormal="100" workbookViewId="0">
      <selection activeCell="F40" sqref="F40"/>
    </sheetView>
  </sheetViews>
  <sheetFormatPr defaultColWidth="8.6640625" defaultRowHeight="14.4" x14ac:dyDescent="0.3"/>
  <cols>
    <col min="1" max="1" width="60" customWidth="1"/>
    <col min="2" max="4" width="13" customWidth="1"/>
    <col min="5" max="5" width="14" customWidth="1"/>
    <col min="6" max="6" width="80" customWidth="1"/>
  </cols>
  <sheetData>
    <row r="1" spans="1:6" ht="19.5" customHeight="1" x14ac:dyDescent="0.4">
      <c r="A1" s="177" t="s">
        <v>1105</v>
      </c>
      <c r="B1" s="178"/>
      <c r="C1" s="178"/>
      <c r="D1" s="178"/>
      <c r="E1" s="178"/>
      <c r="F1" s="178"/>
    </row>
    <row r="2" spans="1:6" ht="14.25" customHeight="1" x14ac:dyDescent="0.3">
      <c r="A2" s="183" t="s">
        <v>1106</v>
      </c>
      <c r="B2" s="178"/>
      <c r="C2" s="178"/>
      <c r="D2" s="178"/>
      <c r="E2" s="178"/>
      <c r="F2" s="178"/>
    </row>
    <row r="4" spans="1:6" ht="14.25" customHeight="1" x14ac:dyDescent="0.3">
      <c r="A4" s="160" t="s">
        <v>1107</v>
      </c>
      <c r="B4" s="160" t="s">
        <v>1108</v>
      </c>
      <c r="C4" s="160" t="s">
        <v>1109</v>
      </c>
      <c r="D4" s="160" t="s">
        <v>1110</v>
      </c>
      <c r="E4" s="160" t="s">
        <v>1111</v>
      </c>
      <c r="F4" s="160" t="s">
        <v>1112</v>
      </c>
    </row>
    <row r="5" spans="1:6" ht="14.25" customHeight="1" x14ac:dyDescent="0.3">
      <c r="A5" s="161" t="s">
        <v>1113</v>
      </c>
      <c r="B5" s="162">
        <v>299</v>
      </c>
      <c r="C5" s="162">
        <v>933</v>
      </c>
      <c r="D5" s="162">
        <f>(B5+C5)/2</f>
        <v>616</v>
      </c>
      <c r="E5" s="163">
        <v>1136</v>
      </c>
      <c r="F5" s="164" t="s">
        <v>1114</v>
      </c>
    </row>
    <row r="6" spans="1:6" ht="24" customHeight="1" x14ac:dyDescent="0.3">
      <c r="A6" s="161" t="s">
        <v>1115</v>
      </c>
      <c r="B6" s="162">
        <v>374</v>
      </c>
      <c r="C6" s="162">
        <v>1184</v>
      </c>
      <c r="D6" s="162">
        <f>(B6+C6)/2</f>
        <v>779</v>
      </c>
      <c r="E6" s="163">
        <v>1136</v>
      </c>
      <c r="F6" s="164" t="s">
        <v>1116</v>
      </c>
    </row>
    <row r="7" spans="1:6" ht="24" customHeight="1" x14ac:dyDescent="0.3">
      <c r="A7" s="161" t="s">
        <v>1117</v>
      </c>
      <c r="B7" s="162">
        <v>585</v>
      </c>
      <c r="C7" s="162">
        <v>1293</v>
      </c>
      <c r="D7" s="162">
        <f>(B7+C7)/2</f>
        <v>939</v>
      </c>
      <c r="E7" s="163">
        <v>1136</v>
      </c>
      <c r="F7" s="164" t="s">
        <v>1118</v>
      </c>
    </row>
    <row r="8" spans="1:6" ht="36" customHeight="1" x14ac:dyDescent="0.3">
      <c r="A8" s="161" t="s">
        <v>1119</v>
      </c>
      <c r="B8" s="162">
        <v>779</v>
      </c>
      <c r="C8" s="162">
        <v>1076</v>
      </c>
      <c r="D8" s="162">
        <f>(B8+C8)/2</f>
        <v>927.5</v>
      </c>
      <c r="E8" s="163">
        <v>1136</v>
      </c>
      <c r="F8" s="165" t="s">
        <v>1120</v>
      </c>
    </row>
    <row r="9" spans="1:6" ht="14.25" customHeight="1" x14ac:dyDescent="0.3">
      <c r="A9" s="57" t="s">
        <v>1121</v>
      </c>
      <c r="B9" s="166">
        <f>PTA!C71*75</f>
        <v>1192.5</v>
      </c>
      <c r="C9" s="166">
        <f>PTA!C72*75</f>
        <v>1515</v>
      </c>
      <c r="D9" s="57">
        <f>(B9+C9)/2</f>
        <v>1353.75</v>
      </c>
      <c r="E9" s="37">
        <v>1136</v>
      </c>
      <c r="F9" s="36" t="s">
        <v>1122</v>
      </c>
    </row>
    <row r="10" spans="1:6" ht="14.25" customHeight="1" x14ac:dyDescent="0.3">
      <c r="A10" s="184" t="s">
        <v>1123</v>
      </c>
      <c r="B10" s="178"/>
      <c r="C10" s="178"/>
      <c r="D10" s="178"/>
      <c r="E10" s="178"/>
      <c r="F10" s="178"/>
    </row>
    <row r="12" spans="1:6" ht="14.25" customHeight="1" x14ac:dyDescent="0.3">
      <c r="A12" s="180" t="s">
        <v>1124</v>
      </c>
      <c r="B12" s="178"/>
      <c r="C12" s="178"/>
      <c r="D12" s="178"/>
      <c r="E12" s="178"/>
      <c r="F12" s="178"/>
    </row>
    <row r="13" spans="1:6" ht="14.25" customHeight="1" x14ac:dyDescent="0.3">
      <c r="A13" s="180" t="s">
        <v>1125</v>
      </c>
      <c r="B13" s="178"/>
      <c r="C13" s="178"/>
      <c r="D13" s="178"/>
      <c r="E13" s="178"/>
      <c r="F13" s="178"/>
    </row>
    <row r="17" spans="1:6" ht="14.25" customHeight="1" x14ac:dyDescent="0.3">
      <c r="A17" s="179" t="s">
        <v>1126</v>
      </c>
      <c r="B17" s="178"/>
      <c r="C17" s="178"/>
      <c r="D17" s="178"/>
      <c r="E17" s="178"/>
      <c r="F17" s="178"/>
    </row>
    <row r="18" spans="1:6" ht="14.25" customHeight="1" x14ac:dyDescent="0.3">
      <c r="A18" s="160" t="s">
        <v>1107</v>
      </c>
      <c r="B18" s="160" t="s">
        <v>1108</v>
      </c>
      <c r="C18" s="160" t="s">
        <v>1109</v>
      </c>
      <c r="D18" s="160" t="s">
        <v>1127</v>
      </c>
      <c r="E18" s="160" t="s">
        <v>1128</v>
      </c>
      <c r="F18" s="160" t="s">
        <v>1129</v>
      </c>
    </row>
    <row r="19" spans="1:6" ht="14.25" customHeight="1" x14ac:dyDescent="0.3">
      <c r="A19" s="167" t="s">
        <v>1130</v>
      </c>
      <c r="B19" s="168">
        <v>779</v>
      </c>
      <c r="C19" s="168">
        <v>1076</v>
      </c>
      <c r="D19" s="169">
        <f>B19</f>
        <v>779</v>
      </c>
      <c r="E19" s="169">
        <f>C19-B19</f>
        <v>297</v>
      </c>
      <c r="F19" s="169">
        <v>1136</v>
      </c>
    </row>
    <row r="20" spans="1:6" ht="14.25" customHeight="1" x14ac:dyDescent="0.3">
      <c r="A20" s="167" t="s">
        <v>1131</v>
      </c>
      <c r="B20" s="168">
        <v>585</v>
      </c>
      <c r="C20" s="168">
        <v>1293</v>
      </c>
      <c r="D20" s="169">
        <f>B20</f>
        <v>585</v>
      </c>
      <c r="E20" s="169">
        <f>C20-B20</f>
        <v>708</v>
      </c>
      <c r="F20" s="169">
        <v>1136</v>
      </c>
    </row>
    <row r="21" spans="1:6" ht="14.25" customHeight="1" x14ac:dyDescent="0.3">
      <c r="A21" s="167" t="s">
        <v>1132</v>
      </c>
      <c r="B21" s="168">
        <v>374</v>
      </c>
      <c r="C21" s="168">
        <v>1184</v>
      </c>
      <c r="D21" s="169">
        <f>B21</f>
        <v>374</v>
      </c>
      <c r="E21" s="169">
        <f>C21-B21</f>
        <v>810</v>
      </c>
      <c r="F21" s="169">
        <v>1136</v>
      </c>
    </row>
    <row r="22" spans="1:6" ht="14.25" customHeight="1" x14ac:dyDescent="0.3">
      <c r="A22" s="167" t="s">
        <v>1133</v>
      </c>
      <c r="B22" s="168">
        <v>299</v>
      </c>
      <c r="C22" s="168">
        <v>933</v>
      </c>
      <c r="D22" s="169">
        <f>B22</f>
        <v>299</v>
      </c>
      <c r="E22" s="169">
        <f>C22-B22</f>
        <v>634</v>
      </c>
      <c r="F22" s="169">
        <v>1136</v>
      </c>
    </row>
    <row r="24" spans="1:6" ht="14.25" customHeight="1" x14ac:dyDescent="0.3">
      <c r="A24" s="170" t="s">
        <v>1134</v>
      </c>
    </row>
    <row r="25" spans="1:6" ht="14.25" customHeight="1" x14ac:dyDescent="0.3">
      <c r="A25" s="182" t="s">
        <v>1135</v>
      </c>
      <c r="B25" s="178"/>
      <c r="C25" s="178"/>
      <c r="D25" s="178"/>
      <c r="E25" s="178"/>
      <c r="F25" s="178"/>
    </row>
    <row r="26" spans="1:6" ht="14.25" customHeight="1" x14ac:dyDescent="0.3">
      <c r="A26" s="181" t="s">
        <v>1136</v>
      </c>
      <c r="B26" s="178"/>
      <c r="C26" s="178"/>
      <c r="D26" s="178"/>
      <c r="E26" s="178"/>
      <c r="F26" s="178"/>
    </row>
    <row r="28" spans="1:6" ht="14.25" customHeight="1" x14ac:dyDescent="0.3">
      <c r="A28" s="33" t="s">
        <v>1137</v>
      </c>
    </row>
    <row r="29" spans="1:6" ht="14.25" customHeight="1" x14ac:dyDescent="0.3">
      <c r="A29" s="36" t="s">
        <v>1138</v>
      </c>
    </row>
    <row r="30" spans="1:6" ht="14.25" customHeight="1" x14ac:dyDescent="0.3">
      <c r="A30" s="36" t="s">
        <v>1139</v>
      </c>
    </row>
    <row r="31" spans="1:6" ht="14.25" customHeight="1" x14ac:dyDescent="0.3">
      <c r="A31" s="36" t="s">
        <v>1140</v>
      </c>
    </row>
  </sheetData>
  <mergeCells count="8">
    <mergeCell ref="A1:F1"/>
    <mergeCell ref="A17:F17"/>
    <mergeCell ref="A12:F12"/>
    <mergeCell ref="A26:F26"/>
    <mergeCell ref="A25:F25"/>
    <mergeCell ref="A2:F2"/>
    <mergeCell ref="A10:F10"/>
    <mergeCell ref="A13:F13"/>
  </mergeCells>
  <pageMargins left="0.75" right="0.75" top="1" bottom="1" header="0.511811023622047" footer="0.511811023622047"/>
  <pageSetup paperSize="9" orientation="portrait" horizontalDpi="300" verticalDpi="300"/>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808080"/>
  </sheetPr>
  <dimension ref="A1:G57"/>
  <sheetViews>
    <sheetView zoomScaleNormal="100" workbookViewId="0"/>
  </sheetViews>
  <sheetFormatPr defaultColWidth="8.6640625" defaultRowHeight="14.4" x14ac:dyDescent="0.3"/>
  <cols>
    <col min="1" max="1" width="3" customWidth="1"/>
    <col min="2" max="2" width="5" customWidth="1"/>
    <col min="3" max="3" width="28" customWidth="1"/>
    <col min="4" max="5" width="55" customWidth="1"/>
    <col min="6" max="6" width="14" customWidth="1"/>
  </cols>
  <sheetData>
    <row r="1" spans="1:7" ht="17.25" customHeight="1" x14ac:dyDescent="0.3">
      <c r="B1" s="28" t="s">
        <v>1141</v>
      </c>
    </row>
    <row r="3" spans="1:7" ht="15" customHeight="1" x14ac:dyDescent="0.3">
      <c r="A3" s="44"/>
      <c r="B3" s="44" t="s">
        <v>1142</v>
      </c>
      <c r="C3" s="44" t="s">
        <v>373</v>
      </c>
      <c r="D3" s="44" t="s">
        <v>1143</v>
      </c>
      <c r="E3" s="44" t="s">
        <v>1144</v>
      </c>
      <c r="F3" s="44" t="s">
        <v>1145</v>
      </c>
      <c r="G3" s="53" t="s">
        <v>1146</v>
      </c>
    </row>
    <row r="4" spans="1:7" ht="21.75" customHeight="1" x14ac:dyDescent="0.3">
      <c r="B4" s="171">
        <v>1</v>
      </c>
      <c r="C4" s="30" t="s">
        <v>154</v>
      </c>
      <c r="D4" s="172" t="s">
        <v>1147</v>
      </c>
      <c r="E4" s="173" t="s">
        <v>1148</v>
      </c>
      <c r="F4" s="30" t="s">
        <v>1149</v>
      </c>
    </row>
    <row r="5" spans="1:7" ht="21.75" customHeight="1" x14ac:dyDescent="0.3">
      <c r="B5" s="171">
        <v>2</v>
      </c>
      <c r="C5" s="30" t="s">
        <v>1150</v>
      </c>
      <c r="D5" s="172" t="s">
        <v>1151</v>
      </c>
      <c r="E5" s="173" t="s">
        <v>1152</v>
      </c>
      <c r="F5" s="30" t="s">
        <v>1149</v>
      </c>
    </row>
    <row r="6" spans="1:7" ht="15" customHeight="1" x14ac:dyDescent="0.3">
      <c r="B6" s="171">
        <v>3</v>
      </c>
      <c r="C6" s="30" t="s">
        <v>1153</v>
      </c>
      <c r="D6" s="172" t="s">
        <v>1154</v>
      </c>
      <c r="E6" s="173" t="s">
        <v>1152</v>
      </c>
      <c r="F6" s="30" t="s">
        <v>1155</v>
      </c>
    </row>
    <row r="7" spans="1:7" ht="21.75" customHeight="1" x14ac:dyDescent="0.3">
      <c r="B7" s="171">
        <v>4</v>
      </c>
      <c r="C7" s="30" t="s">
        <v>1156</v>
      </c>
      <c r="D7" s="172" t="s">
        <v>1157</v>
      </c>
      <c r="E7" s="173" t="s">
        <v>1152</v>
      </c>
      <c r="F7" s="30" t="s">
        <v>1158</v>
      </c>
    </row>
    <row r="8" spans="1:7" ht="15" customHeight="1" x14ac:dyDescent="0.3">
      <c r="B8" s="171">
        <v>5</v>
      </c>
      <c r="C8" s="30" t="s">
        <v>196</v>
      </c>
      <c r="D8" s="172" t="s">
        <v>1159</v>
      </c>
      <c r="E8" s="173" t="s">
        <v>1152</v>
      </c>
      <c r="F8" s="30" t="s">
        <v>1158</v>
      </c>
    </row>
    <row r="9" spans="1:7" ht="15" customHeight="1" x14ac:dyDescent="0.3">
      <c r="B9" s="171">
        <v>6</v>
      </c>
      <c r="C9" s="30" t="s">
        <v>1160</v>
      </c>
      <c r="D9" s="172" t="s">
        <v>1161</v>
      </c>
      <c r="E9" s="173" t="s">
        <v>1152</v>
      </c>
      <c r="F9" s="30" t="s">
        <v>1158</v>
      </c>
    </row>
    <row r="10" spans="1:7" ht="21.75" customHeight="1" x14ac:dyDescent="0.3">
      <c r="B10" s="171">
        <v>7</v>
      </c>
      <c r="C10" s="30" t="s">
        <v>1162</v>
      </c>
      <c r="D10" s="172" t="s">
        <v>1163</v>
      </c>
      <c r="E10" s="173" t="s">
        <v>1164</v>
      </c>
      <c r="F10" s="30" t="s">
        <v>1158</v>
      </c>
    </row>
    <row r="11" spans="1:7" ht="21.75" customHeight="1" x14ac:dyDescent="0.3">
      <c r="B11" s="171">
        <v>8</v>
      </c>
      <c r="C11" s="30" t="s">
        <v>249</v>
      </c>
      <c r="D11" s="172" t="s">
        <v>1165</v>
      </c>
      <c r="E11" s="173" t="s">
        <v>1152</v>
      </c>
      <c r="F11" s="30" t="s">
        <v>1158</v>
      </c>
    </row>
    <row r="12" spans="1:7" ht="15" customHeight="1" x14ac:dyDescent="0.3">
      <c r="B12" s="171">
        <v>9</v>
      </c>
      <c r="C12" s="30" t="s">
        <v>407</v>
      </c>
      <c r="D12" s="172" t="s">
        <v>1166</v>
      </c>
      <c r="E12" s="173" t="s">
        <v>1152</v>
      </c>
      <c r="F12" s="30" t="s">
        <v>1158</v>
      </c>
    </row>
    <row r="13" spans="1:7" ht="15" customHeight="1" x14ac:dyDescent="0.3">
      <c r="B13" s="171">
        <v>10</v>
      </c>
      <c r="C13" s="30" t="s">
        <v>1167</v>
      </c>
      <c r="D13" s="172" t="s">
        <v>1168</v>
      </c>
      <c r="E13" s="173" t="s">
        <v>1169</v>
      </c>
      <c r="F13" s="30" t="s">
        <v>1170</v>
      </c>
    </row>
    <row r="14" spans="1:7" ht="15" customHeight="1" x14ac:dyDescent="0.3">
      <c r="B14" s="171">
        <v>11</v>
      </c>
      <c r="C14" s="30" t="s">
        <v>1171</v>
      </c>
      <c r="D14" s="172" t="s">
        <v>1172</v>
      </c>
      <c r="E14" s="173" t="s">
        <v>1173</v>
      </c>
      <c r="F14" s="30" t="s">
        <v>1170</v>
      </c>
    </row>
    <row r="15" spans="1:7" ht="15" customHeight="1" x14ac:dyDescent="0.3">
      <c r="B15" s="171">
        <v>12</v>
      </c>
      <c r="C15" s="30" t="s">
        <v>1174</v>
      </c>
      <c r="D15" s="172" t="s">
        <v>1175</v>
      </c>
      <c r="E15" s="173" t="s">
        <v>1176</v>
      </c>
      <c r="F15" s="30" t="s">
        <v>1170</v>
      </c>
    </row>
    <row r="16" spans="1:7" ht="15" customHeight="1" x14ac:dyDescent="0.3">
      <c r="B16" s="171">
        <v>13</v>
      </c>
      <c r="C16" s="30" t="s">
        <v>1177</v>
      </c>
      <c r="D16" s="172" t="s">
        <v>1178</v>
      </c>
      <c r="E16" s="173" t="s">
        <v>1179</v>
      </c>
      <c r="F16" s="30" t="s">
        <v>1180</v>
      </c>
    </row>
    <row r="17" spans="2:6" ht="15" customHeight="1" x14ac:dyDescent="0.3">
      <c r="B17" s="171">
        <v>14</v>
      </c>
      <c r="C17" s="30" t="s">
        <v>1181</v>
      </c>
      <c r="D17" s="172" t="s">
        <v>1182</v>
      </c>
      <c r="E17" s="173" t="s">
        <v>1183</v>
      </c>
      <c r="F17" s="30" t="s">
        <v>1170</v>
      </c>
    </row>
    <row r="18" spans="2:6" ht="15" customHeight="1" x14ac:dyDescent="0.3">
      <c r="B18" s="171">
        <v>15</v>
      </c>
      <c r="C18" s="30" t="s">
        <v>1184</v>
      </c>
      <c r="D18" s="172" t="s">
        <v>1185</v>
      </c>
      <c r="E18" s="173" t="s">
        <v>1186</v>
      </c>
      <c r="F18" s="30" t="s">
        <v>1158</v>
      </c>
    </row>
    <row r="19" spans="2:6" ht="15" customHeight="1" x14ac:dyDescent="0.3">
      <c r="B19" s="171">
        <v>16</v>
      </c>
      <c r="C19" s="30" t="s">
        <v>1187</v>
      </c>
      <c r="D19" s="172" t="s">
        <v>1188</v>
      </c>
      <c r="E19" s="173" t="s">
        <v>1189</v>
      </c>
      <c r="F19" s="30" t="s">
        <v>1190</v>
      </c>
    </row>
    <row r="20" spans="2:6" ht="15" customHeight="1" x14ac:dyDescent="0.3">
      <c r="B20" s="171">
        <v>17</v>
      </c>
      <c r="C20" s="30" t="s">
        <v>1191</v>
      </c>
      <c r="D20" s="172" t="s">
        <v>1192</v>
      </c>
      <c r="E20" s="173" t="s">
        <v>1193</v>
      </c>
      <c r="F20" s="30" t="s">
        <v>1194</v>
      </c>
    </row>
    <row r="21" spans="2:6" ht="15" customHeight="1" x14ac:dyDescent="0.3">
      <c r="B21" s="171">
        <v>18</v>
      </c>
      <c r="C21" s="30" t="s">
        <v>1195</v>
      </c>
      <c r="D21" s="172" t="s">
        <v>1196</v>
      </c>
      <c r="E21" s="173" t="s">
        <v>1197</v>
      </c>
      <c r="F21" s="30" t="s">
        <v>1198</v>
      </c>
    </row>
    <row r="22" spans="2:6" ht="15" customHeight="1" x14ac:dyDescent="0.3">
      <c r="B22" s="171">
        <v>19</v>
      </c>
      <c r="C22" s="30" t="s">
        <v>1199</v>
      </c>
      <c r="D22" s="172" t="s">
        <v>1200</v>
      </c>
      <c r="E22" s="173" t="s">
        <v>1201</v>
      </c>
      <c r="F22" s="30" t="s">
        <v>1202</v>
      </c>
    </row>
    <row r="23" spans="2:6" ht="15" customHeight="1" x14ac:dyDescent="0.3">
      <c r="B23" s="171">
        <v>20</v>
      </c>
      <c r="C23" s="30" t="s">
        <v>1203</v>
      </c>
      <c r="D23" s="172" t="s">
        <v>1204</v>
      </c>
      <c r="E23" s="173" t="s">
        <v>1205</v>
      </c>
      <c r="F23" s="30" t="s">
        <v>1206</v>
      </c>
    </row>
    <row r="24" spans="2:6" ht="15" customHeight="1" x14ac:dyDescent="0.3">
      <c r="B24" s="171">
        <v>21</v>
      </c>
      <c r="C24" s="30" t="s">
        <v>1207</v>
      </c>
      <c r="D24" s="172" t="s">
        <v>1208</v>
      </c>
      <c r="E24" s="173" t="s">
        <v>1209</v>
      </c>
      <c r="F24" s="30" t="s">
        <v>1210</v>
      </c>
    </row>
    <row r="25" spans="2:6" ht="15" customHeight="1" x14ac:dyDescent="0.3">
      <c r="B25" s="171">
        <v>22</v>
      </c>
      <c r="C25" s="30" t="s">
        <v>1211</v>
      </c>
      <c r="D25" s="172" t="s">
        <v>1212</v>
      </c>
      <c r="E25" s="173" t="s">
        <v>1213</v>
      </c>
      <c r="F25" s="30" t="s">
        <v>1158</v>
      </c>
    </row>
    <row r="26" spans="2:6" ht="15" customHeight="1" x14ac:dyDescent="0.3">
      <c r="B26" s="171">
        <v>23</v>
      </c>
      <c r="C26" s="30" t="s">
        <v>1214</v>
      </c>
      <c r="D26" s="172" t="s">
        <v>1215</v>
      </c>
      <c r="E26" s="173" t="s">
        <v>1216</v>
      </c>
      <c r="F26" s="30" t="s">
        <v>1180</v>
      </c>
    </row>
    <row r="27" spans="2:6" ht="15" customHeight="1" x14ac:dyDescent="0.3">
      <c r="B27" s="171">
        <v>24</v>
      </c>
      <c r="C27" s="30" t="s">
        <v>1217</v>
      </c>
      <c r="D27" s="172" t="s">
        <v>1218</v>
      </c>
      <c r="E27" s="173" t="s">
        <v>1219</v>
      </c>
      <c r="F27" s="30" t="s">
        <v>1220</v>
      </c>
    </row>
    <row r="28" spans="2:6" ht="15" customHeight="1" x14ac:dyDescent="0.3">
      <c r="B28" s="171">
        <v>25</v>
      </c>
      <c r="C28" s="30" t="s">
        <v>1221</v>
      </c>
      <c r="D28" s="172" t="s">
        <v>1222</v>
      </c>
      <c r="E28" s="173" t="s">
        <v>1223</v>
      </c>
      <c r="F28" s="30" t="s">
        <v>1220</v>
      </c>
    </row>
    <row r="29" spans="2:6" ht="15" customHeight="1" x14ac:dyDescent="0.3">
      <c r="B29" s="171">
        <v>26</v>
      </c>
      <c r="C29" s="30" t="s">
        <v>1224</v>
      </c>
      <c r="D29" s="172" t="s">
        <v>1225</v>
      </c>
      <c r="E29" s="173" t="s">
        <v>1226</v>
      </c>
      <c r="F29" s="30" t="s">
        <v>1220</v>
      </c>
    </row>
    <row r="30" spans="2:6" ht="21.75" customHeight="1" x14ac:dyDescent="0.3">
      <c r="B30" s="171">
        <v>27</v>
      </c>
      <c r="C30" s="30" t="s">
        <v>1227</v>
      </c>
      <c r="D30" s="172" t="s">
        <v>1228</v>
      </c>
      <c r="E30" s="173" t="s">
        <v>1229</v>
      </c>
      <c r="F30" s="30" t="s">
        <v>1230</v>
      </c>
    </row>
    <row r="31" spans="2:6" ht="15" customHeight="1" x14ac:dyDescent="0.3">
      <c r="B31" s="30">
        <v>28</v>
      </c>
      <c r="C31" s="30" t="s">
        <v>1231</v>
      </c>
      <c r="D31" s="174" t="s">
        <v>1232</v>
      </c>
      <c r="E31" s="175" t="s">
        <v>1233</v>
      </c>
      <c r="F31" s="30" t="s">
        <v>1230</v>
      </c>
    </row>
    <row r="33" spans="2:7" ht="14.25" customHeight="1" x14ac:dyDescent="0.3">
      <c r="B33" s="33" t="s">
        <v>1234</v>
      </c>
    </row>
    <row r="34" spans="2:7" ht="14.25" customHeight="1" x14ac:dyDescent="0.3">
      <c r="B34" s="57" t="s">
        <v>1235</v>
      </c>
      <c r="C34" s="57" t="s">
        <v>1236</v>
      </c>
      <c r="D34" s="57" t="s">
        <v>1237</v>
      </c>
      <c r="E34" s="176" t="s">
        <v>1238</v>
      </c>
      <c r="F34" s="57" t="s">
        <v>1239</v>
      </c>
      <c r="G34" s="34" t="s">
        <v>1240</v>
      </c>
    </row>
    <row r="35" spans="2:7" ht="14.25" customHeight="1" x14ac:dyDescent="0.3">
      <c r="B35" s="57" t="s">
        <v>1241</v>
      </c>
      <c r="C35" s="57" t="s">
        <v>1242</v>
      </c>
      <c r="D35" s="57" t="s">
        <v>1243</v>
      </c>
      <c r="E35" s="176" t="s">
        <v>1244</v>
      </c>
      <c r="F35" s="57" t="s">
        <v>1245</v>
      </c>
      <c r="G35" s="34" t="s">
        <v>1240</v>
      </c>
    </row>
    <row r="36" spans="2:7" ht="14.25" customHeight="1" x14ac:dyDescent="0.3">
      <c r="B36" s="57" t="s">
        <v>1246</v>
      </c>
      <c r="C36" s="57" t="s">
        <v>1247</v>
      </c>
      <c r="D36" s="57" t="s">
        <v>1248</v>
      </c>
      <c r="E36" s="176" t="s">
        <v>1249</v>
      </c>
      <c r="F36" s="57" t="s">
        <v>1250</v>
      </c>
      <c r="G36" s="34" t="s">
        <v>1240</v>
      </c>
    </row>
    <row r="37" spans="2:7" ht="14.25" customHeight="1" x14ac:dyDescent="0.3">
      <c r="B37" s="57" t="s">
        <v>1251</v>
      </c>
      <c r="C37" s="57" t="s">
        <v>1252</v>
      </c>
      <c r="D37" s="57" t="s">
        <v>1253</v>
      </c>
      <c r="E37" s="176" t="s">
        <v>1254</v>
      </c>
      <c r="F37" s="57" t="s">
        <v>1255</v>
      </c>
      <c r="G37" s="34" t="s">
        <v>1240</v>
      </c>
    </row>
    <row r="38" spans="2:7" ht="14.25" customHeight="1" x14ac:dyDescent="0.3">
      <c r="B38" s="57" t="s">
        <v>1256</v>
      </c>
      <c r="C38" s="57" t="s">
        <v>1257</v>
      </c>
      <c r="D38" s="57" t="s">
        <v>1258</v>
      </c>
      <c r="E38" s="176" t="s">
        <v>1259</v>
      </c>
      <c r="F38" s="57" t="s">
        <v>1260</v>
      </c>
      <c r="G38" s="34" t="s">
        <v>1240</v>
      </c>
    </row>
    <row r="39" spans="2:7" ht="14.25" customHeight="1" x14ac:dyDescent="0.3">
      <c r="B39" s="57" t="s">
        <v>1261</v>
      </c>
      <c r="C39" s="57" t="s">
        <v>1262</v>
      </c>
      <c r="D39" s="57" t="s">
        <v>1263</v>
      </c>
      <c r="E39" s="176" t="s">
        <v>1264</v>
      </c>
      <c r="F39" s="57" t="s">
        <v>1265</v>
      </c>
      <c r="G39" s="34" t="s">
        <v>1266</v>
      </c>
    </row>
    <row r="40" spans="2:7" ht="14.25" customHeight="1" x14ac:dyDescent="0.3">
      <c r="B40" s="57" t="s">
        <v>1267</v>
      </c>
      <c r="C40" s="57" t="s">
        <v>1268</v>
      </c>
      <c r="D40" s="57" t="s">
        <v>1269</v>
      </c>
      <c r="E40" s="176" t="s">
        <v>1270</v>
      </c>
      <c r="F40" s="57" t="s">
        <v>1265</v>
      </c>
      <c r="G40" s="34" t="s">
        <v>1266</v>
      </c>
    </row>
    <row r="41" spans="2:7" ht="14.25" customHeight="1" x14ac:dyDescent="0.3">
      <c r="B41" s="57" t="s">
        <v>1271</v>
      </c>
      <c r="C41" s="57" t="s">
        <v>1272</v>
      </c>
      <c r="D41" s="57" t="s">
        <v>1273</v>
      </c>
      <c r="E41" s="176" t="s">
        <v>1274</v>
      </c>
      <c r="F41" s="57" t="s">
        <v>724</v>
      </c>
      <c r="G41" s="34" t="s">
        <v>1266</v>
      </c>
    </row>
    <row r="42" spans="2:7" ht="14.25" customHeight="1" x14ac:dyDescent="0.3">
      <c r="B42" s="57" t="s">
        <v>1275</v>
      </c>
      <c r="C42" s="57" t="s">
        <v>1276</v>
      </c>
      <c r="D42" s="57" t="s">
        <v>1277</v>
      </c>
      <c r="E42" s="176" t="s">
        <v>1278</v>
      </c>
      <c r="F42" s="57" t="s">
        <v>1279</v>
      </c>
      <c r="G42" s="34" t="s">
        <v>1266</v>
      </c>
    </row>
    <row r="43" spans="2:7" ht="14.25" customHeight="1" x14ac:dyDescent="0.3">
      <c r="B43" s="57" t="s">
        <v>1280</v>
      </c>
      <c r="C43" s="57" t="s">
        <v>1281</v>
      </c>
      <c r="D43" s="57" t="s">
        <v>1282</v>
      </c>
      <c r="E43" s="176" t="s">
        <v>1283</v>
      </c>
      <c r="F43" s="57" t="s">
        <v>1155</v>
      </c>
      <c r="G43" s="34" t="s">
        <v>1266</v>
      </c>
    </row>
    <row r="44" spans="2:7" ht="14.25" customHeight="1" x14ac:dyDescent="0.3">
      <c r="B44" s="57" t="s">
        <v>1284</v>
      </c>
      <c r="C44" s="57" t="s">
        <v>1285</v>
      </c>
      <c r="D44" s="57" t="s">
        <v>1286</v>
      </c>
      <c r="E44" s="176" t="s">
        <v>1287</v>
      </c>
      <c r="F44" s="57" t="s">
        <v>1155</v>
      </c>
      <c r="G44" s="34" t="s">
        <v>1266</v>
      </c>
    </row>
    <row r="45" spans="2:7" ht="14.25" customHeight="1" x14ac:dyDescent="0.3">
      <c r="B45" s="57" t="s">
        <v>1288</v>
      </c>
      <c r="C45" s="57" t="s">
        <v>1289</v>
      </c>
      <c r="D45" s="57" t="s">
        <v>1290</v>
      </c>
      <c r="E45" s="176" t="s">
        <v>1291</v>
      </c>
      <c r="F45" s="57" t="s">
        <v>1292</v>
      </c>
      <c r="G45" s="34" t="s">
        <v>1266</v>
      </c>
    </row>
    <row r="46" spans="2:7" ht="14.25" customHeight="1" x14ac:dyDescent="0.3">
      <c r="B46" s="57" t="s">
        <v>1293</v>
      </c>
      <c r="C46" s="57" t="s">
        <v>1294</v>
      </c>
      <c r="D46" s="57" t="s">
        <v>1295</v>
      </c>
      <c r="E46" s="176" t="s">
        <v>1296</v>
      </c>
      <c r="F46" s="57" t="s">
        <v>728</v>
      </c>
      <c r="G46" s="34" t="s">
        <v>1240</v>
      </c>
    </row>
    <row r="47" spans="2:7" ht="14.25" customHeight="1" x14ac:dyDescent="0.3">
      <c r="B47" s="57" t="s">
        <v>1297</v>
      </c>
      <c r="C47" s="57" t="s">
        <v>1298</v>
      </c>
      <c r="D47" s="57" t="s">
        <v>1299</v>
      </c>
      <c r="E47" s="176" t="s">
        <v>1300</v>
      </c>
      <c r="F47" s="57" t="s">
        <v>733</v>
      </c>
      <c r="G47" s="34" t="s">
        <v>1240</v>
      </c>
    </row>
    <row r="48" spans="2:7" ht="14.25" customHeight="1" x14ac:dyDescent="0.3">
      <c r="B48" s="57" t="s">
        <v>1301</v>
      </c>
      <c r="C48" s="57" t="s">
        <v>1302</v>
      </c>
      <c r="D48" s="57" t="s">
        <v>1303</v>
      </c>
      <c r="E48" s="176" t="s">
        <v>1304</v>
      </c>
      <c r="F48" s="57" t="s">
        <v>743</v>
      </c>
      <c r="G48" s="34" t="s">
        <v>1266</v>
      </c>
    </row>
    <row r="49" spans="2:7" ht="14.25" customHeight="1" x14ac:dyDescent="0.3">
      <c r="B49" s="57" t="s">
        <v>1305</v>
      </c>
      <c r="C49" s="57" t="s">
        <v>1306</v>
      </c>
      <c r="D49" s="57" t="s">
        <v>1307</v>
      </c>
      <c r="E49" s="176" t="s">
        <v>1308</v>
      </c>
      <c r="F49" s="57" t="s">
        <v>738</v>
      </c>
      <c r="G49" s="34" t="s">
        <v>1266</v>
      </c>
    </row>
    <row r="50" spans="2:7" ht="14.25" customHeight="1" x14ac:dyDescent="0.3">
      <c r="B50" s="57" t="s">
        <v>1309</v>
      </c>
      <c r="C50" s="57" t="s">
        <v>1310</v>
      </c>
      <c r="D50" s="57" t="s">
        <v>1311</v>
      </c>
      <c r="E50" s="176" t="s">
        <v>1312</v>
      </c>
      <c r="F50" s="57" t="s">
        <v>659</v>
      </c>
      <c r="G50" s="34" t="s">
        <v>1240</v>
      </c>
    </row>
    <row r="51" spans="2:7" ht="31.5" customHeight="1" x14ac:dyDescent="0.3">
      <c r="B51" s="57" t="s">
        <v>1313</v>
      </c>
      <c r="C51" s="57" t="s">
        <v>1314</v>
      </c>
      <c r="D51" s="54" t="s">
        <v>1315</v>
      </c>
      <c r="E51" s="176" t="s">
        <v>1316</v>
      </c>
      <c r="F51" s="57" t="s">
        <v>1317</v>
      </c>
      <c r="G51" s="34" t="s">
        <v>1318</v>
      </c>
    </row>
    <row r="52" spans="2:7" ht="14.25" customHeight="1" x14ac:dyDescent="0.3">
      <c r="B52" s="57" t="s">
        <v>1319</v>
      </c>
      <c r="C52" s="57" t="s">
        <v>1320</v>
      </c>
      <c r="D52" s="57" t="s">
        <v>1321</v>
      </c>
      <c r="E52" s="176" t="s">
        <v>1322</v>
      </c>
      <c r="F52" s="57" t="s">
        <v>1149</v>
      </c>
      <c r="G52" s="34" t="s">
        <v>1240</v>
      </c>
    </row>
    <row r="53" spans="2:7" ht="14.25" customHeight="1" x14ac:dyDescent="0.3">
      <c r="B53" s="57" t="s">
        <v>1323</v>
      </c>
      <c r="C53" s="57" t="s">
        <v>1324</v>
      </c>
      <c r="D53" s="57" t="s">
        <v>1325</v>
      </c>
      <c r="E53" s="176" t="s">
        <v>1326</v>
      </c>
      <c r="F53" s="57" t="s">
        <v>1158</v>
      </c>
      <c r="G53" s="34" t="s">
        <v>1318</v>
      </c>
    </row>
    <row r="56" spans="2:7" ht="14.25" customHeight="1" x14ac:dyDescent="0.3">
      <c r="B56" s="53" t="s">
        <v>1327</v>
      </c>
    </row>
    <row r="57" spans="2:7" ht="55.5" customHeight="1" x14ac:dyDescent="0.3">
      <c r="B57" s="210" t="s">
        <v>1328</v>
      </c>
      <c r="C57" s="178"/>
      <c r="D57" s="178"/>
      <c r="E57" s="178"/>
      <c r="F57" s="178"/>
      <c r="G57" s="178"/>
    </row>
  </sheetData>
  <mergeCells count="1">
    <mergeCell ref="B57:G57"/>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1</vt:i4>
      </vt:variant>
    </vt:vector>
  </HeadingPairs>
  <TitlesOfParts>
    <vt:vector size="12" baseType="lpstr">
      <vt:lpstr>READ ME</vt:lpstr>
      <vt:lpstr>Summary</vt:lpstr>
      <vt:lpstr>Deal Summary</vt:lpstr>
      <vt:lpstr>EV Bridge</vt:lpstr>
      <vt:lpstr>Historicals</vt:lpstr>
      <vt:lpstr>CCA</vt:lpstr>
      <vt:lpstr>PTA</vt:lpstr>
      <vt:lpstr>DCF</vt:lpstr>
      <vt:lpstr>LBO Model</vt:lpstr>
      <vt:lpstr>Football Field</vt:lpstr>
      <vt:lpstr>Source Log</vt:lpstr>
      <vt:lpstr>Summary!Print_Area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Mason Bennett</cp:lastModifiedBy>
  <cp:revision>41</cp:revision>
  <dcterms:created xsi:type="dcterms:W3CDTF">2026-04-15T23:51:34Z</dcterms:created>
  <dcterms:modified xsi:type="dcterms:W3CDTF">2026-07-02T23:17:42Z</dcterms:modified>
  <dc:language>en-US</dc:language>
</cp:coreProperties>
</file>