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L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x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7F7F7F"/>
      <sz val="9"/>
    </font>
    <font>
      <name val="Arial"/>
      <i val="1"/>
      <color rgb="000000F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i val="1"/>
      <color rgb="007F7F7F"/>
      <sz val="10"/>
    </font>
    <font>
      <name val="Arial"/>
      <i val="1"/>
      <color rgb="007F7F7F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" fontId="6" fillId="0" borderId="0" pivotButton="0" quotePrefix="0" xfId="0"/>
    <xf numFmtId="164" fontId="5" fillId="0" borderId="0" pivotButton="0" quotePrefix="0" xfId="0"/>
    <xf numFmtId="0" fontId="7" fillId="0" borderId="0" pivotButton="0" quotePrefix="0" xfId="0"/>
    <xf numFmtId="164" fontId="7" fillId="0" borderId="1" pivotButton="0" quotePrefix="0" xfId="0"/>
    <xf numFmtId="0" fontId="8" fillId="0" borderId="0" pivotButton="0" quotePrefix="0" xfId="0"/>
    <xf numFmtId="0" fontId="7" fillId="3" borderId="0" applyAlignment="1" pivotButton="0" quotePrefix="0" xfId="0">
      <alignment horizontal="right" vertical="center"/>
    </xf>
    <xf numFmtId="164" fontId="7" fillId="0" borderId="0" pivotButton="0" quotePrefix="0" xfId="0"/>
    <xf numFmtId="165" fontId="5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Paper LBO — Practice Template</t>
        </is>
      </c>
    </row>
    <row r="2">
      <c r="A2" s="2" t="inlineStr">
        <is>
          <t>A simplified one-page leveraged buyout: entry, a five-year build with a cash sweep, exit, and returns.</t>
        </is>
      </c>
    </row>
    <row r="3">
      <c r="A3" s="3" t="inlineStr">
        <is>
          <t>Blue = your inputs (overwrite them).  Black = formulas.  Figures are illustrative.</t>
        </is>
      </c>
    </row>
    <row r="5">
      <c r="A5" s="4" t="inlineStr">
        <is>
          <t>ASSUMPTIONS</t>
        </is>
      </c>
      <c r="B5" s="4" t="n"/>
      <c r="C5" s="4" t="n"/>
      <c r="D5" s="4" t="n"/>
      <c r="E5" s="4" t="n"/>
      <c r="F5" s="4" t="n"/>
      <c r="G5" s="4" t="n"/>
    </row>
    <row r="6">
      <c r="A6" s="5" t="inlineStr">
        <is>
          <t>LTM EBITDA ($mm)</t>
        </is>
      </c>
      <c r="C6" s="6" t="n">
        <v>100</v>
      </c>
    </row>
    <row r="7">
      <c r="A7" s="5" t="inlineStr">
        <is>
          <t>Entry multiple (EV / EBITDA)</t>
        </is>
      </c>
      <c r="C7" s="7" t="n">
        <v>10</v>
      </c>
    </row>
    <row r="8">
      <c r="A8" s="5" t="inlineStr">
        <is>
          <t>Entry leverage (Net debt / EBITDA)</t>
        </is>
      </c>
      <c r="C8" s="7" t="n">
        <v>5</v>
      </c>
    </row>
    <row r="9">
      <c r="A9" s="5" t="inlineStr">
        <is>
          <t>Transaction fees (% of EV)</t>
        </is>
      </c>
      <c r="C9" s="8" t="n">
        <v>0.025</v>
      </c>
    </row>
    <row r="10">
      <c r="A10" s="5" t="inlineStr">
        <is>
          <t>EBITDA growth (per year)</t>
        </is>
      </c>
      <c r="C10" s="8" t="n">
        <v>0.08</v>
      </c>
    </row>
    <row r="11">
      <c r="A11" s="5" t="inlineStr">
        <is>
          <t>Capex (% of EBITDA)</t>
        </is>
      </c>
      <c r="C11" s="8" t="n">
        <v>0.15</v>
      </c>
    </row>
    <row r="12">
      <c r="A12" s="5" t="inlineStr">
        <is>
          <t>Cash interest rate on debt</t>
        </is>
      </c>
      <c r="C12" s="8" t="n">
        <v>0.08</v>
      </c>
    </row>
    <row r="13">
      <c r="A13" s="5" t="inlineStr">
        <is>
          <t>Tax rate</t>
        </is>
      </c>
      <c r="C13" s="8" t="n">
        <v>0.25</v>
      </c>
    </row>
    <row r="14">
      <c r="A14" s="5" t="inlineStr">
        <is>
          <t>Exit multiple (EV / EBITDA)</t>
        </is>
      </c>
      <c r="C14" s="7" t="n">
        <v>10</v>
      </c>
    </row>
    <row r="15">
      <c r="A15" s="5" t="inlineStr">
        <is>
          <t>Hold period (years)</t>
        </is>
      </c>
      <c r="C15" s="9" t="n">
        <v>5</v>
      </c>
    </row>
    <row r="17">
      <c r="A17" s="4" t="inlineStr">
        <is>
          <t>ENTRY</t>
        </is>
      </c>
      <c r="B17" s="4" t="n"/>
      <c r="C17" s="4" t="n"/>
      <c r="D17" s="4" t="n"/>
      <c r="E17" s="4" t="n"/>
      <c r="F17" s="4" t="n"/>
      <c r="G17" s="4" t="n"/>
    </row>
    <row r="18">
      <c r="A18" s="5" t="inlineStr">
        <is>
          <t>Enterprise value (entry)</t>
        </is>
      </c>
      <c r="C18" s="10">
        <f>$C$6*$C$7</f>
        <v/>
      </c>
    </row>
    <row r="19">
      <c r="A19" s="5" t="inlineStr">
        <is>
          <t>Less: net debt (entry)</t>
        </is>
      </c>
      <c r="C19" s="10">
        <f>-$C$8*$C$6</f>
        <v/>
      </c>
    </row>
    <row r="20">
      <c r="A20" s="5" t="inlineStr">
        <is>
          <t>Plus: transaction fees</t>
        </is>
      </c>
      <c r="C20" s="10">
        <f>$C$18*$C$9</f>
        <v/>
      </c>
    </row>
    <row r="21">
      <c r="A21" s="11" t="inlineStr">
        <is>
          <t>Sponsor equity (entry)</t>
        </is>
      </c>
      <c r="C21" s="12">
        <f>$C$18+$C$19+$C$20</f>
        <v/>
      </c>
    </row>
    <row r="23">
      <c r="A23" s="4" t="inlineStr">
        <is>
          <t>OPERATING BUILD &amp; CASH SWEEP</t>
        </is>
      </c>
      <c r="B23" s="4" t="n"/>
      <c r="C23" s="4" t="n"/>
      <c r="D23" s="4" t="n"/>
      <c r="E23" s="4" t="n"/>
      <c r="F23" s="4" t="n"/>
      <c r="G23" s="4" t="n"/>
    </row>
    <row r="24">
      <c r="A24" s="13" t="inlineStr">
        <is>
          <t>($mm)</t>
        </is>
      </c>
      <c r="C24" s="14" t="inlineStr">
        <is>
          <t>Year 1</t>
        </is>
      </c>
      <c r="D24" s="14" t="inlineStr">
        <is>
          <t>Year 2</t>
        </is>
      </c>
      <c r="E24" s="14" t="inlineStr">
        <is>
          <t>Year 3</t>
        </is>
      </c>
      <c r="F24" s="14" t="inlineStr">
        <is>
          <t>Year 4</t>
        </is>
      </c>
      <c r="G24" s="14" t="inlineStr">
        <is>
          <t>Year 5</t>
        </is>
      </c>
    </row>
    <row r="25">
      <c r="A25" s="5" t="inlineStr">
        <is>
          <t>EBITDA</t>
        </is>
      </c>
      <c r="C25" s="10">
        <f>$C$6*(1+$C$10)</f>
        <v/>
      </c>
      <c r="D25" s="10">
        <f>C25*(1+$C$10)</f>
        <v/>
      </c>
      <c r="E25" s="10">
        <f>D25*(1+$C$10)</f>
        <v/>
      </c>
      <c r="F25" s="10">
        <f>E25*(1+$C$10)</f>
        <v/>
      </c>
      <c r="G25" s="10">
        <f>F25*(1+$C$10)</f>
        <v/>
      </c>
    </row>
    <row r="26">
      <c r="A26" s="5" t="inlineStr">
        <is>
          <t>Less: capex</t>
        </is>
      </c>
      <c r="C26" s="10">
        <f>-C25*$C$11</f>
        <v/>
      </c>
      <c r="D26" s="10">
        <f>-D25*$C$11</f>
        <v/>
      </c>
      <c r="E26" s="10">
        <f>-E25*$C$11</f>
        <v/>
      </c>
      <c r="F26" s="10">
        <f>-F25*$C$11</f>
        <v/>
      </c>
      <c r="G26" s="10">
        <f>-G25*$C$11</f>
        <v/>
      </c>
    </row>
    <row r="27">
      <c r="A27" s="5" t="inlineStr">
        <is>
          <t>Less: cash interest</t>
        </is>
      </c>
      <c r="C27" s="10">
        <f>-C31*$C$12</f>
        <v/>
      </c>
      <c r="D27" s="10">
        <f>-D31*$C$12</f>
        <v/>
      </c>
      <c r="E27" s="10">
        <f>-E31*$C$12</f>
        <v/>
      </c>
      <c r="F27" s="10">
        <f>-F31*$C$12</f>
        <v/>
      </c>
      <c r="G27" s="10">
        <f>-G31*$C$12</f>
        <v/>
      </c>
    </row>
    <row r="28">
      <c r="A28" s="5" t="inlineStr">
        <is>
          <t>Less: taxes</t>
        </is>
      </c>
      <c r="C28" s="10">
        <f>-MAX(0,(C25+C27))*$C$13</f>
        <v/>
      </c>
      <c r="D28" s="10">
        <f>-MAX(0,(D25+D27))*$C$13</f>
        <v/>
      </c>
      <c r="E28" s="10">
        <f>-MAX(0,(E25+E27))*$C$13</f>
        <v/>
      </c>
      <c r="F28" s="10">
        <f>-MAX(0,(F25+F27))*$C$13</f>
        <v/>
      </c>
      <c r="G28" s="10">
        <f>-MAX(0,(G25+G27))*$C$13</f>
        <v/>
      </c>
    </row>
    <row r="29">
      <c r="A29" s="11" t="inlineStr">
        <is>
          <t>Free cash flow (pre-sweep)</t>
        </is>
      </c>
      <c r="C29" s="12">
        <f>C25+C26+C27+C28</f>
        <v/>
      </c>
      <c r="D29" s="12">
        <f>D25+D26+D27+D28</f>
        <v/>
      </c>
      <c r="E29" s="12">
        <f>E25+E26+E27+E28</f>
        <v/>
      </c>
      <c r="F29" s="12">
        <f>F25+F26+F27+F28</f>
        <v/>
      </c>
      <c r="G29" s="12">
        <f>G25+G26+G27+G28</f>
        <v/>
      </c>
    </row>
    <row r="31">
      <c r="A31" s="5" t="inlineStr">
        <is>
          <t>Beginning net debt</t>
        </is>
      </c>
      <c r="C31" s="10">
        <f>-$C$19</f>
        <v/>
      </c>
      <c r="D31" s="10">
        <f>C33</f>
        <v/>
      </c>
      <c r="E31" s="10">
        <f>D33</f>
        <v/>
      </c>
      <c r="F31" s="10">
        <f>E33</f>
        <v/>
      </c>
      <c r="G31" s="10">
        <f>F33</f>
        <v/>
      </c>
    </row>
    <row r="32">
      <c r="A32" s="5" t="inlineStr">
        <is>
          <t>Less: debt paydown (sweep)</t>
        </is>
      </c>
      <c r="C32" s="10">
        <f>-MIN(C31,MAX(0,C29))</f>
        <v/>
      </c>
      <c r="D32" s="10">
        <f>-MIN(D31,MAX(0,D29))</f>
        <v/>
      </c>
      <c r="E32" s="10">
        <f>-MIN(E31,MAX(0,E29))</f>
        <v/>
      </c>
      <c r="F32" s="10">
        <f>-MIN(F31,MAX(0,F29))</f>
        <v/>
      </c>
      <c r="G32" s="10">
        <f>-MIN(G31,MAX(0,G29))</f>
        <v/>
      </c>
    </row>
    <row r="33">
      <c r="A33" s="11" t="inlineStr">
        <is>
          <t>Ending net debt</t>
        </is>
      </c>
      <c r="C33" s="15">
        <f>C31+C32</f>
        <v/>
      </c>
      <c r="D33" s="15">
        <f>D31+D32</f>
        <v/>
      </c>
      <c r="E33" s="15">
        <f>E31+E32</f>
        <v/>
      </c>
      <c r="F33" s="15">
        <f>F31+F32</f>
        <v/>
      </c>
      <c r="G33" s="15">
        <f>G31+G32</f>
        <v/>
      </c>
    </row>
    <row r="34">
      <c r="A34" s="5" t="inlineStr">
        <is>
          <t>Net leverage (x EBITDA)</t>
        </is>
      </c>
      <c r="C34" s="16">
        <f>C33/C25</f>
        <v/>
      </c>
      <c r="D34" s="16">
        <f>D33/D25</f>
        <v/>
      </c>
      <c r="E34" s="16">
        <f>E33/E25</f>
        <v/>
      </c>
      <c r="F34" s="16">
        <f>F33/F25</f>
        <v/>
      </c>
      <c r="G34" s="16">
        <f>G33/G25</f>
        <v/>
      </c>
    </row>
    <row r="36">
      <c r="A36" s="4" t="inlineStr">
        <is>
          <t>EXIT &amp; RETURNS</t>
        </is>
      </c>
      <c r="B36" s="4" t="n"/>
      <c r="C36" s="4" t="n"/>
      <c r="D36" s="4" t="n"/>
      <c r="E36" s="4" t="n"/>
      <c r="F36" s="4" t="n"/>
      <c r="G36" s="4" t="n"/>
    </row>
    <row r="37">
      <c r="A37" s="5" t="inlineStr">
        <is>
          <t>Exit EBITDA (Year 5)</t>
        </is>
      </c>
      <c r="C37" s="10">
        <f>G25</f>
        <v/>
      </c>
    </row>
    <row r="38">
      <c r="A38" s="5" t="inlineStr">
        <is>
          <t>Exit enterprise value</t>
        </is>
      </c>
      <c r="C38" s="10">
        <f>$C$37*$C$14</f>
        <v/>
      </c>
    </row>
    <row r="39">
      <c r="A39" s="5" t="inlineStr">
        <is>
          <t>Less: net debt at exit</t>
        </is>
      </c>
      <c r="C39" s="10">
        <f>-G33</f>
        <v/>
      </c>
    </row>
    <row r="40">
      <c r="A40" s="11" t="inlineStr">
        <is>
          <t>Equity value at exit</t>
        </is>
      </c>
      <c r="C40" s="12">
        <f>$C$38+$C$39</f>
        <v/>
      </c>
    </row>
    <row r="42">
      <c r="A42" s="11" t="inlineStr">
        <is>
          <t>MOIC (x)</t>
        </is>
      </c>
      <c r="C42" s="17">
        <f>$C$40/$C$21</f>
        <v/>
      </c>
    </row>
    <row r="43">
      <c r="A43" s="11" t="inlineStr">
        <is>
          <t>IRR (%)</t>
        </is>
      </c>
      <c r="C43" s="18">
        <f>($C$40/$C$21)^(1/$C$15)-1</f>
        <v/>
      </c>
    </row>
    <row r="45">
      <c r="A45" s="19" t="inlineStr">
        <is>
          <t>Note: a teaching simplification — taxes ignore the D&amp;A shield; the sweep applies all FCF to debt.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2026-07-07T17:23:20Z</dcterms:created>
  <dcterms:modified xmlns:dcterms="http://purl.org/dc/terms/" xmlns:xsi="http://www.w3.org/2001/XMLSchema-instance" xsi:type="dcterms:W3CDTF">2026-07-07T17:23:20Z</dcterms:modified>
</cp:coreProperties>
</file>