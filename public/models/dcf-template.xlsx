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7F7F7F"/>
      <sz val="9"/>
    </font>
    <font>
      <name val="Arial"/>
      <i val="1"/>
      <color rgb="000000FF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7F7F7F"/>
      <sz val="10"/>
    </font>
    <font>
      <name val="Arial"/>
      <b val="1"/>
      <color rgb="00000000"/>
      <sz val="10"/>
    </font>
    <font>
      <name val="Arial"/>
      <i val="1"/>
      <color rgb="007F7F7F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top style="thin">
        <color rgb="00808080"/>
      </top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right" vertical="center"/>
    </xf>
    <xf numFmtId="164" fontId="5" fillId="0" borderId="0" pivotButton="0" quotePrefix="0" xfId="0"/>
    <xf numFmtId="0" fontId="8" fillId="0" borderId="0" pivotButton="0" quotePrefix="0" xfId="0"/>
    <xf numFmtId="164" fontId="8" fillId="0" borderId="1" pivotButton="0" quotePrefix="0" xfId="0"/>
    <xf numFmtId="0" fontId="5" fillId="0" borderId="0" applyAlignment="1" pivotButton="0" quotePrefix="0" xfId="0">
      <alignment horizontal="right" vertical="center"/>
    </xf>
    <xf numFmtId="166" fontId="5" fillId="0" borderId="0" pivotButton="0" quotePrefix="0" xfId="0"/>
    <xf numFmtId="164" fontId="8" fillId="0" borderId="0" pivotButton="0" quotePrefix="0" xfId="0"/>
    <xf numFmtId="4" fontId="8" fillId="0" borderId="0" pivotButton="0" quotePrefix="0" xfId="0"/>
    <xf numFmtId="165" fontId="7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Discounted Cash Flow — Practice Template</t>
        </is>
      </c>
    </row>
    <row r="2">
      <c r="A2" s="2" t="inlineStr">
        <is>
          <t>Five years of unlevered free cash flow discounted at WACC, with a perpetuity-growth terminal value.</t>
        </is>
      </c>
    </row>
    <row r="3">
      <c r="A3" s="3" t="inlineStr">
        <is>
          <t>Blue = your inputs (overwrite them).  Black = formulas.  Figures are illustrative.</t>
        </is>
      </c>
    </row>
    <row r="5">
      <c r="A5" s="4" t="inlineStr">
        <is>
          <t>ASSUMPTIONS</t>
        </is>
      </c>
      <c r="B5" s="4" t="n"/>
      <c r="C5" s="4" t="n"/>
      <c r="D5" s="4" t="n"/>
      <c r="E5" s="4" t="n"/>
      <c r="F5" s="4" t="n"/>
      <c r="G5" s="4" t="n"/>
    </row>
    <row r="6">
      <c r="A6" s="5" t="inlineStr">
        <is>
          <t>Revenue — last actual ($mm)</t>
        </is>
      </c>
      <c r="C6" s="6" t="n">
        <v>1000</v>
      </c>
    </row>
    <row r="7">
      <c r="A7" s="5" t="inlineStr">
        <is>
          <t>Revenue growth (per year)</t>
        </is>
      </c>
      <c r="C7" s="7" t="n">
        <v>0.08</v>
      </c>
    </row>
    <row r="8">
      <c r="A8" s="5" t="inlineStr">
        <is>
          <t>EBIT margin (% of revenue)</t>
        </is>
      </c>
      <c r="C8" s="7" t="n">
        <v>0.2</v>
      </c>
    </row>
    <row r="9">
      <c r="A9" s="5" t="inlineStr">
        <is>
          <t>Tax rate</t>
        </is>
      </c>
      <c r="C9" s="7" t="n">
        <v>0.25</v>
      </c>
    </row>
    <row r="10">
      <c r="A10" s="5" t="inlineStr">
        <is>
          <t>D&amp;A (% of revenue)</t>
        </is>
      </c>
      <c r="C10" s="7" t="n">
        <v>0.04</v>
      </c>
    </row>
    <row r="11">
      <c r="A11" s="5" t="inlineStr">
        <is>
          <t>Capex (% of revenue)</t>
        </is>
      </c>
      <c r="C11" s="7" t="n">
        <v>0.05</v>
      </c>
    </row>
    <row r="12">
      <c r="A12" s="5" t="inlineStr">
        <is>
          <t>Incremental NWC (% of change in revenue)</t>
        </is>
      </c>
      <c r="C12" s="7" t="n">
        <v>0.15</v>
      </c>
    </row>
    <row r="13">
      <c r="A13" s="5" t="inlineStr">
        <is>
          <t>WACC (discount rate)</t>
        </is>
      </c>
      <c r="C13" s="7" t="n">
        <v>0.09</v>
      </c>
    </row>
    <row r="14">
      <c r="A14" s="5" t="inlineStr">
        <is>
          <t>Terminal growth rate</t>
        </is>
      </c>
      <c r="C14" s="7" t="n">
        <v>0.025</v>
      </c>
    </row>
    <row r="15">
      <c r="A15" s="5" t="inlineStr">
        <is>
          <t>Net debt ($mm)</t>
        </is>
      </c>
      <c r="C15" s="6" t="n">
        <v>300</v>
      </c>
    </row>
    <row r="16">
      <c r="A16" s="5" t="inlineStr">
        <is>
          <t>Diluted shares (mm)</t>
        </is>
      </c>
      <c r="C16" s="6" t="n">
        <v>100</v>
      </c>
    </row>
    <row r="18">
      <c r="A18" s="4" t="inlineStr">
        <is>
          <t>UNLEVERED FREE CASH FLOW</t>
        </is>
      </c>
      <c r="B18" s="4" t="n"/>
      <c r="C18" s="4" t="n"/>
      <c r="D18" s="4" t="n"/>
      <c r="E18" s="4" t="n"/>
      <c r="F18" s="4" t="n"/>
      <c r="G18" s="4" t="n"/>
    </row>
    <row r="19">
      <c r="A19" s="8" t="inlineStr">
        <is>
          <t>($mm)</t>
        </is>
      </c>
      <c r="C19" s="9" t="inlineStr">
        <is>
          <t>FY1</t>
        </is>
      </c>
      <c r="D19" s="9" t="inlineStr">
        <is>
          <t>FY2</t>
        </is>
      </c>
      <c r="E19" s="9" t="inlineStr">
        <is>
          <t>FY3</t>
        </is>
      </c>
      <c r="F19" s="9" t="inlineStr">
        <is>
          <t>FY4</t>
        </is>
      </c>
      <c r="G19" s="9" t="inlineStr">
        <is>
          <t>FY5</t>
        </is>
      </c>
    </row>
    <row r="20">
      <c r="A20" s="5" t="inlineStr">
        <is>
          <t>Revenue</t>
        </is>
      </c>
      <c r="C20" s="10">
        <f>$C$6*(1+$C$7)</f>
        <v/>
      </c>
      <c r="D20" s="10">
        <f>C20*(1+$C$7)</f>
        <v/>
      </c>
      <c r="E20" s="10">
        <f>D20*(1+$C$7)</f>
        <v/>
      </c>
      <c r="F20" s="10">
        <f>E20*(1+$C$7)</f>
        <v/>
      </c>
      <c r="G20" s="10">
        <f>F20*(1+$C$7)</f>
        <v/>
      </c>
    </row>
    <row r="21">
      <c r="A21" s="5" t="inlineStr">
        <is>
          <t>EBIT</t>
        </is>
      </c>
      <c r="C21" s="10">
        <f>C20*$C$8</f>
        <v/>
      </c>
      <c r="D21" s="10">
        <f>D20*$C$8</f>
        <v/>
      </c>
      <c r="E21" s="10">
        <f>E20*$C$8</f>
        <v/>
      </c>
      <c r="F21" s="10">
        <f>F20*$C$8</f>
        <v/>
      </c>
      <c r="G21" s="10">
        <f>G20*$C$8</f>
        <v/>
      </c>
    </row>
    <row r="22">
      <c r="A22" s="5" t="inlineStr">
        <is>
          <t>Less: taxes on EBIT</t>
        </is>
      </c>
      <c r="C22" s="10">
        <f>-C21*$C$9</f>
        <v/>
      </c>
      <c r="D22" s="10">
        <f>-D21*$C$9</f>
        <v/>
      </c>
      <c r="E22" s="10">
        <f>-E21*$C$9</f>
        <v/>
      </c>
      <c r="F22" s="10">
        <f>-F21*$C$9</f>
        <v/>
      </c>
      <c r="G22" s="10">
        <f>-G21*$C$9</f>
        <v/>
      </c>
    </row>
    <row r="23">
      <c r="A23" s="11" t="inlineStr">
        <is>
          <t>NOPAT</t>
        </is>
      </c>
      <c r="C23" s="12">
        <f>C21+C22</f>
        <v/>
      </c>
      <c r="D23" s="12">
        <f>D21+D22</f>
        <v/>
      </c>
      <c r="E23" s="12">
        <f>E21+E22</f>
        <v/>
      </c>
      <c r="F23" s="12">
        <f>F21+F22</f>
        <v/>
      </c>
      <c r="G23" s="12">
        <f>G21+G22</f>
        <v/>
      </c>
    </row>
    <row r="24">
      <c r="A24" s="5" t="inlineStr">
        <is>
          <t>(+) D&amp;A</t>
        </is>
      </c>
      <c r="C24" s="10">
        <f>C20*$C$10</f>
        <v/>
      </c>
      <c r="D24" s="10">
        <f>D20*$C$10</f>
        <v/>
      </c>
      <c r="E24" s="10">
        <f>E20*$C$10</f>
        <v/>
      </c>
      <c r="F24" s="10">
        <f>F20*$C$10</f>
        <v/>
      </c>
      <c r="G24" s="10">
        <f>G20*$C$10</f>
        <v/>
      </c>
    </row>
    <row r="25">
      <c r="A25" s="5" t="inlineStr">
        <is>
          <t>(−) Capex</t>
        </is>
      </c>
      <c r="C25" s="10">
        <f>-C20*$C$11</f>
        <v/>
      </c>
      <c r="D25" s="10">
        <f>-D20*$C$11</f>
        <v/>
      </c>
      <c r="E25" s="10">
        <f>-E20*$C$11</f>
        <v/>
      </c>
      <c r="F25" s="10">
        <f>-F20*$C$11</f>
        <v/>
      </c>
      <c r="G25" s="10">
        <f>-G20*$C$11</f>
        <v/>
      </c>
    </row>
    <row r="26">
      <c r="A26" s="5" t="inlineStr">
        <is>
          <t>(−) Increase in NWC</t>
        </is>
      </c>
      <c r="C26" s="10">
        <f>-(C20-$C$6)*$C$12</f>
        <v/>
      </c>
      <c r="D26" s="10">
        <f>-(D20-C20)*$C$12</f>
        <v/>
      </c>
      <c r="E26" s="10">
        <f>-(E20-D20)*$C$12</f>
        <v/>
      </c>
      <c r="F26" s="10">
        <f>-(F20-E20)*$C$12</f>
        <v/>
      </c>
      <c r="G26" s="10">
        <f>-(G20-F20)*$C$12</f>
        <v/>
      </c>
    </row>
    <row r="27">
      <c r="A27" s="11" t="inlineStr">
        <is>
          <t>Unlevered free cash flow</t>
        </is>
      </c>
      <c r="C27" s="12">
        <f>C23+C24+C25+C26</f>
        <v/>
      </c>
      <c r="D27" s="12">
        <f>D23+D24+D25+D26</f>
        <v/>
      </c>
      <c r="E27" s="12">
        <f>E23+E24+E25+E26</f>
        <v/>
      </c>
      <c r="F27" s="12">
        <f>F23+F24+F25+F26</f>
        <v/>
      </c>
      <c r="G27" s="12">
        <f>G23+G24+G25+G26</f>
        <v/>
      </c>
    </row>
    <row r="29">
      <c r="A29" s="5" t="inlineStr">
        <is>
          <t>Discount period (t)</t>
        </is>
      </c>
      <c r="C29" s="13" t="n">
        <v>1</v>
      </c>
      <c r="D29" s="13" t="n">
        <v>2</v>
      </c>
      <c r="E29" s="13" t="n">
        <v>3</v>
      </c>
      <c r="F29" s="13" t="n">
        <v>4</v>
      </c>
      <c r="G29" s="13" t="n">
        <v>5</v>
      </c>
    </row>
    <row r="30">
      <c r="A30" s="5" t="inlineStr">
        <is>
          <t>Discount factor @ WACC</t>
        </is>
      </c>
      <c r="C30" s="14">
        <f>1/(1+$C$13)^C29</f>
        <v/>
      </c>
      <c r="D30" s="14">
        <f>1/(1+$C$13)^D29</f>
        <v/>
      </c>
      <c r="E30" s="14">
        <f>1/(1+$C$13)^E29</f>
        <v/>
      </c>
      <c r="F30" s="14">
        <f>1/(1+$C$13)^F29</f>
        <v/>
      </c>
      <c r="G30" s="14">
        <f>1/(1+$C$13)^G29</f>
        <v/>
      </c>
    </row>
    <row r="31">
      <c r="A31" s="11" t="inlineStr">
        <is>
          <t>PV of unlevered FCF</t>
        </is>
      </c>
      <c r="C31" s="15">
        <f>C27*C30</f>
        <v/>
      </c>
      <c r="D31" s="15">
        <f>D27*D30</f>
        <v/>
      </c>
      <c r="E31" s="15">
        <f>E27*E30</f>
        <v/>
      </c>
      <c r="F31" s="15">
        <f>F27*F30</f>
        <v/>
      </c>
      <c r="G31" s="15">
        <f>G27*G30</f>
        <v/>
      </c>
    </row>
    <row r="33">
      <c r="A33" s="4" t="inlineStr">
        <is>
          <t>VALUATION</t>
        </is>
      </c>
      <c r="B33" s="4" t="n"/>
      <c r="C33" s="4" t="n"/>
      <c r="D33" s="4" t="n"/>
      <c r="E33" s="4" t="n"/>
      <c r="F33" s="4" t="n"/>
      <c r="G33" s="4" t="n"/>
    </row>
    <row r="34">
      <c r="A34" s="5" t="inlineStr">
        <is>
          <t>Sum of PV of FCF (FY1–FY5)</t>
        </is>
      </c>
      <c r="C34" s="10">
        <f>SUM(C31:G31)</f>
        <v/>
      </c>
    </row>
    <row r="35">
      <c r="A35" s="5" t="inlineStr">
        <is>
          <t>Terminal value (perpetuity growth)</t>
        </is>
      </c>
      <c r="C35" s="10">
        <f>G27*(1+$C$14)/($C$13-$C$14)</f>
        <v/>
      </c>
    </row>
    <row r="36">
      <c r="A36" s="5" t="inlineStr">
        <is>
          <t>PV of terminal value</t>
        </is>
      </c>
      <c r="C36" s="10">
        <f>$C$35*G30</f>
        <v/>
      </c>
    </row>
    <row r="37">
      <c r="A37" s="11" t="inlineStr">
        <is>
          <t>Enterprise value</t>
        </is>
      </c>
      <c r="C37" s="12">
        <f>$C$34+$C$36</f>
        <v/>
      </c>
    </row>
    <row r="38">
      <c r="A38" s="5" t="inlineStr">
        <is>
          <t>Less: net debt</t>
        </is>
      </c>
      <c r="C38" s="10">
        <f>-$C$15</f>
        <v/>
      </c>
    </row>
    <row r="39">
      <c r="A39" s="11" t="inlineStr">
        <is>
          <t>Equity value</t>
        </is>
      </c>
      <c r="C39" s="12">
        <f>$C$37-$C$15</f>
        <v/>
      </c>
    </row>
    <row r="40">
      <c r="A40" s="11" t="inlineStr">
        <is>
          <t>Implied share price ($)</t>
        </is>
      </c>
      <c r="C40" s="16">
        <f>$C$39/$C$16</f>
        <v/>
      </c>
    </row>
    <row r="41">
      <c r="A41" s="5" t="inlineStr">
        <is>
          <t>Terminal value as % of EV</t>
        </is>
      </c>
      <c r="C41" s="17">
        <f>$C$36/$C$37</f>
        <v/>
      </c>
    </row>
    <row r="43">
      <c r="A43" s="18" t="inlineStr">
        <is>
          <t>Note: unlevered DCF — the discount rate is WACC; the model requires WACC &gt; terminal growth.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2026-07-07T17:37:25Z</dcterms:created>
  <dcterms:modified xmlns:dcterms="http://purl.org/dc/terms/" xmlns:xsi="http://www.w3.org/2001/XMLSchema-instance" xsi:type="dcterms:W3CDTF">2026-07-07T17:37:25Z</dcterms:modified>
</cp:coreProperties>
</file>