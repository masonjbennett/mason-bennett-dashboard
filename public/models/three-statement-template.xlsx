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7F7F7F"/>
      <sz val="9"/>
    </font>
    <font>
      <name val="Arial"/>
      <i val="1"/>
      <color rgb="000000FF"/>
      <sz val="9"/>
    </font>
    <font>
      <name val="Arial"/>
      <i val="1"/>
      <color rgb="007F7F7F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7F7F7F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top style="thin">
        <color rgb="00808080"/>
      </top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right" vertical="center"/>
    </xf>
    <xf numFmtId="0" fontId="6" fillId="3" borderId="0" pivotButton="0" quotePrefix="0" xfId="0"/>
    <xf numFmtId="0" fontId="7" fillId="0" borderId="0" pivotButton="0" quotePrefix="0" xfId="0"/>
    <xf numFmtId="164" fontId="8" fillId="0" borderId="0" pivotButton="0" quotePrefix="0" xfId="0"/>
    <xf numFmtId="0" fontId="5" fillId="0" borderId="0" pivotButton="0" quotePrefix="0" xfId="0"/>
    <xf numFmtId="165" fontId="8" fillId="0" borderId="0" pivotButton="0" quotePrefix="0" xfId="0"/>
    <xf numFmtId="165" fontId="7" fillId="0" borderId="0" pivotButton="0" quotePrefix="0" xfId="0"/>
    <xf numFmtId="165" fontId="5" fillId="0" borderId="0" pivotButton="0" quotePrefix="0" xfId="0"/>
    <xf numFmtId="165" fontId="5" fillId="0" borderId="1" pivotButton="0" quotePrefix="0" xfId="0"/>
    <xf numFmtId="165" fontId="4" fillId="0" borderId="0" pivotButton="0" quotePrefix="0" xfId="0"/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Three-Statement Model — Practice Template</t>
        </is>
      </c>
    </row>
    <row r="2">
      <c r="A2" s="2" t="inlineStr">
        <is>
          <t>A simplified integrated model: income statement, cash flow, and a balance sheet that ties out every year.</t>
        </is>
      </c>
    </row>
    <row r="3">
      <c r="A3" s="3" t="inlineStr">
        <is>
          <t>Blue = your inputs (overwrite them).  Black = formulas.  Figures are illustrative.</t>
        </is>
      </c>
    </row>
    <row r="5">
      <c r="A5" s="4" t="inlineStr">
        <is>
          <t>($mm)</t>
        </is>
      </c>
      <c r="C5" s="5" t="inlineStr">
        <is>
          <t>FY0 (base)</t>
        </is>
      </c>
      <c r="D5" s="5" t="inlineStr">
        <is>
          <t>FY1</t>
        </is>
      </c>
      <c r="E5" s="5" t="inlineStr">
        <is>
          <t>FY2</t>
        </is>
      </c>
      <c r="F5" s="5" t="inlineStr">
        <is>
          <t>FY3</t>
        </is>
      </c>
    </row>
    <row r="6">
      <c r="A6" s="6" t="inlineStr">
        <is>
          <t>ASSUMPTIONS</t>
        </is>
      </c>
      <c r="B6" s="6" t="n"/>
      <c r="C6" s="6" t="n"/>
      <c r="D6" s="6" t="n"/>
      <c r="E6" s="6" t="n"/>
      <c r="F6" s="6" t="n"/>
    </row>
    <row r="7">
      <c r="A7" s="7" t="inlineStr">
        <is>
          <t>Revenue growth</t>
        </is>
      </c>
      <c r="C7" s="8" t="n">
        <v>0.08</v>
      </c>
    </row>
    <row r="8">
      <c r="A8" s="7" t="inlineStr">
        <is>
          <t>COGS (% of revenue)</t>
        </is>
      </c>
      <c r="C8" s="8" t="n">
        <v>0.6</v>
      </c>
    </row>
    <row r="9">
      <c r="A9" s="7" t="inlineStr">
        <is>
          <t>SG&amp;A (% of revenue)</t>
        </is>
      </c>
      <c r="C9" s="8" t="n">
        <v>0.2</v>
      </c>
    </row>
    <row r="10">
      <c r="A10" s="7" t="inlineStr">
        <is>
          <t>D&amp;A (% of revenue)</t>
        </is>
      </c>
      <c r="C10" s="8" t="n">
        <v>0.04</v>
      </c>
    </row>
    <row r="11">
      <c r="A11" s="7" t="inlineStr">
        <is>
          <t>Capex (% of revenue)</t>
        </is>
      </c>
      <c r="C11" s="8" t="n">
        <v>0.05</v>
      </c>
    </row>
    <row r="12">
      <c r="A12" s="7" t="inlineStr">
        <is>
          <t>Net working capital (% of revenue)</t>
        </is>
      </c>
      <c r="C12" s="8" t="n">
        <v>0.15</v>
      </c>
    </row>
    <row r="13">
      <c r="A13" s="7" t="inlineStr">
        <is>
          <t>Interest rate on debt</t>
        </is>
      </c>
      <c r="C13" s="8" t="n">
        <v>0.06</v>
      </c>
    </row>
    <row r="14">
      <c r="A14" s="7" t="inlineStr">
        <is>
          <t>Tax rate</t>
        </is>
      </c>
      <c r="C14" s="8" t="n">
        <v>0.25</v>
      </c>
    </row>
    <row r="15">
      <c r="A15" s="7" t="inlineStr">
        <is>
          <t>Dividend payout (% of net income)</t>
        </is>
      </c>
      <c r="C15" s="8" t="n">
        <v>0</v>
      </c>
    </row>
    <row r="16">
      <c r="A16" s="6" t="inlineStr">
        <is>
          <t>INCOME STATEMENT</t>
        </is>
      </c>
      <c r="B16" s="6" t="n"/>
      <c r="C16" s="6" t="n"/>
      <c r="D16" s="6" t="n"/>
      <c r="E16" s="6" t="n"/>
      <c r="F16" s="6" t="n"/>
    </row>
    <row r="17">
      <c r="A17" s="9" t="inlineStr">
        <is>
          <t>Revenue</t>
        </is>
      </c>
      <c r="C17" s="10" t="n">
        <v>1000</v>
      </c>
      <c r="D17" s="11">
        <f>C17*(1+$C$7)</f>
        <v/>
      </c>
      <c r="E17" s="11">
        <f>D17*(1+$C$7)</f>
        <v/>
      </c>
      <c r="F17" s="11">
        <f>E17*(1+$C$7)</f>
        <v/>
      </c>
    </row>
    <row r="18">
      <c r="A18" s="7" t="inlineStr">
        <is>
          <t>Cost of goods sold</t>
        </is>
      </c>
      <c r="C18" s="11">
        <f>-C17*$C$8</f>
        <v/>
      </c>
      <c r="D18" s="11">
        <f>-D17*$C$8</f>
        <v/>
      </c>
      <c r="E18" s="11">
        <f>-E17*$C$8</f>
        <v/>
      </c>
      <c r="F18" s="11">
        <f>-F17*$C$8</f>
        <v/>
      </c>
    </row>
    <row r="19">
      <c r="A19" s="9" t="inlineStr">
        <is>
          <t>Gross profit</t>
        </is>
      </c>
      <c r="C19" s="12">
        <f>C17+C18</f>
        <v/>
      </c>
      <c r="D19" s="12">
        <f>D17+D18</f>
        <v/>
      </c>
      <c r="E19" s="12">
        <f>E17+E18</f>
        <v/>
      </c>
      <c r="F19" s="12">
        <f>F17+F18</f>
        <v/>
      </c>
    </row>
    <row r="20">
      <c r="A20" s="7" t="inlineStr">
        <is>
          <t>SG&amp;A</t>
        </is>
      </c>
      <c r="C20" s="11">
        <f>-C17*$C$9</f>
        <v/>
      </c>
      <c r="D20" s="11">
        <f>-D17*$C$9</f>
        <v/>
      </c>
      <c r="E20" s="11">
        <f>-E17*$C$9</f>
        <v/>
      </c>
      <c r="F20" s="11">
        <f>-F17*$C$9</f>
        <v/>
      </c>
    </row>
    <row r="21">
      <c r="A21" s="9" t="inlineStr">
        <is>
          <t>EBITDA</t>
        </is>
      </c>
      <c r="C21" s="13">
        <f>C19+C20</f>
        <v/>
      </c>
      <c r="D21" s="13">
        <f>D19+D20</f>
        <v/>
      </c>
      <c r="E21" s="13">
        <f>E19+E20</f>
        <v/>
      </c>
      <c r="F21" s="13">
        <f>F19+F20</f>
        <v/>
      </c>
    </row>
    <row r="22">
      <c r="A22" s="7" t="inlineStr">
        <is>
          <t>D&amp;A</t>
        </is>
      </c>
      <c r="C22" s="11">
        <f>-C17*$C$10</f>
        <v/>
      </c>
      <c r="D22" s="11">
        <f>-D17*$C$10</f>
        <v/>
      </c>
      <c r="E22" s="11">
        <f>-E17*$C$10</f>
        <v/>
      </c>
      <c r="F22" s="11">
        <f>-F17*$C$10</f>
        <v/>
      </c>
    </row>
    <row r="23">
      <c r="A23" s="9" t="inlineStr">
        <is>
          <t>EBIT</t>
        </is>
      </c>
      <c r="C23" s="12">
        <f>C21+C22</f>
        <v/>
      </c>
      <c r="D23" s="12">
        <f>D21+D22</f>
        <v/>
      </c>
      <c r="E23" s="12">
        <f>E21+E22</f>
        <v/>
      </c>
      <c r="F23" s="12">
        <f>F21+F22</f>
        <v/>
      </c>
    </row>
    <row r="24">
      <c r="A24" s="7" t="inlineStr">
        <is>
          <t>Interest expense</t>
        </is>
      </c>
      <c r="C24" s="11">
        <f>-C34*$C$13</f>
        <v/>
      </c>
      <c r="D24" s="11">
        <f>-D34*$C$13</f>
        <v/>
      </c>
      <c r="E24" s="11">
        <f>-E34*$C$13</f>
        <v/>
      </c>
      <c r="F24" s="11">
        <f>-F34*$C$13</f>
        <v/>
      </c>
    </row>
    <row r="25">
      <c r="A25" s="9" t="inlineStr">
        <is>
          <t>Pre-tax income</t>
        </is>
      </c>
      <c r="C25" s="12">
        <f>C23+C24</f>
        <v/>
      </c>
      <c r="D25" s="12">
        <f>D23+D24</f>
        <v/>
      </c>
      <c r="E25" s="12">
        <f>E23+E24</f>
        <v/>
      </c>
      <c r="F25" s="12">
        <f>F23+F24</f>
        <v/>
      </c>
    </row>
    <row r="26">
      <c r="A26" s="7" t="inlineStr">
        <is>
          <t>Taxes</t>
        </is>
      </c>
      <c r="C26" s="11">
        <f>-C25*$C$14</f>
        <v/>
      </c>
      <c r="D26" s="11">
        <f>-D25*$C$14</f>
        <v/>
      </c>
      <c r="E26" s="11">
        <f>-E25*$C$14</f>
        <v/>
      </c>
      <c r="F26" s="11">
        <f>-F25*$C$14</f>
        <v/>
      </c>
    </row>
    <row r="27">
      <c r="A27" s="9" t="inlineStr">
        <is>
          <t>Net income</t>
        </is>
      </c>
      <c r="C27" s="13">
        <f>C25+C26</f>
        <v/>
      </c>
      <c r="D27" s="13">
        <f>D25+D26</f>
        <v/>
      </c>
      <c r="E27" s="13">
        <f>E25+E26</f>
        <v/>
      </c>
      <c r="F27" s="13">
        <f>F25+F26</f>
        <v/>
      </c>
    </row>
    <row r="29">
      <c r="A29" s="6" t="inlineStr">
        <is>
          <t>BALANCE SHEET</t>
        </is>
      </c>
      <c r="B29" s="6" t="n"/>
      <c r="C29" s="6" t="n"/>
      <c r="D29" s="6" t="n"/>
      <c r="E29" s="6" t="n"/>
      <c r="F29" s="6" t="n"/>
    </row>
    <row r="30">
      <c r="A30" s="7" t="inlineStr">
        <is>
          <t>Cash</t>
        </is>
      </c>
      <c r="C30" s="10" t="n">
        <v>120</v>
      </c>
      <c r="D30" s="11">
        <f>D53</f>
        <v/>
      </c>
      <c r="E30" s="11">
        <f>E53</f>
        <v/>
      </c>
      <c r="F30" s="11">
        <f>F53</f>
        <v/>
      </c>
    </row>
    <row r="31">
      <c r="A31" s="7" t="inlineStr">
        <is>
          <t>Net working capital</t>
        </is>
      </c>
      <c r="C31" s="11">
        <f>C17*$C$12</f>
        <v/>
      </c>
      <c r="D31" s="11">
        <f>D17*$C$12</f>
        <v/>
      </c>
      <c r="E31" s="11">
        <f>E17*$C$12</f>
        <v/>
      </c>
      <c r="F31" s="11">
        <f>F17*$C$12</f>
        <v/>
      </c>
    </row>
    <row r="32">
      <c r="A32" s="7" t="inlineStr">
        <is>
          <t>PP&amp;E, net</t>
        </is>
      </c>
      <c r="C32" s="10" t="n">
        <v>400</v>
      </c>
      <c r="D32" s="11">
        <f>C32+D17*$C$11+D22</f>
        <v/>
      </c>
      <c r="E32" s="11">
        <f>D32+E17*$C$11+E22</f>
        <v/>
      </c>
      <c r="F32" s="11">
        <f>E32+F17*$C$11+F22</f>
        <v/>
      </c>
    </row>
    <row r="33">
      <c r="A33" s="9" t="inlineStr">
        <is>
          <t>Total assets</t>
        </is>
      </c>
      <c r="C33" s="13">
        <f>C30+C31+C32</f>
        <v/>
      </c>
      <c r="D33" s="13">
        <f>D30+D31+D32</f>
        <v/>
      </c>
      <c r="E33" s="13">
        <f>E30+E31+E32</f>
        <v/>
      </c>
      <c r="F33" s="13">
        <f>F30+F31+F32</f>
        <v/>
      </c>
    </row>
    <row r="34">
      <c r="A34" s="7" t="inlineStr">
        <is>
          <t>Debt</t>
        </is>
      </c>
      <c r="C34" s="10" t="n">
        <v>300</v>
      </c>
      <c r="D34" s="11">
        <f>C34</f>
        <v/>
      </c>
      <c r="E34" s="11">
        <f>D34</f>
        <v/>
      </c>
      <c r="F34" s="11">
        <f>E34</f>
        <v/>
      </c>
    </row>
    <row r="35">
      <c r="A35" s="9" t="inlineStr">
        <is>
          <t>Total liabilities</t>
        </is>
      </c>
      <c r="C35" s="12">
        <f>C34</f>
        <v/>
      </c>
      <c r="D35" s="12">
        <f>D34</f>
        <v/>
      </c>
      <c r="E35" s="12">
        <f>E34</f>
        <v/>
      </c>
      <c r="F35" s="12">
        <f>F34</f>
        <v/>
      </c>
    </row>
    <row r="36">
      <c r="A36" s="7" t="inlineStr">
        <is>
          <t>Common equity</t>
        </is>
      </c>
      <c r="C36" s="10" t="n">
        <v>200</v>
      </c>
      <c r="D36" s="11">
        <f>C36</f>
        <v/>
      </c>
      <c r="E36" s="11">
        <f>D36</f>
        <v/>
      </c>
      <c r="F36" s="11">
        <f>E36</f>
        <v/>
      </c>
    </row>
    <row r="37">
      <c r="A37" s="7" t="inlineStr">
        <is>
          <t>Retained earnings</t>
        </is>
      </c>
      <c r="C37" s="11">
        <f>C33-C34-C36</f>
        <v/>
      </c>
      <c r="D37" s="11">
        <f>C37+D27+D49</f>
        <v/>
      </c>
      <c r="E37" s="11">
        <f>D37+E27+E49</f>
        <v/>
      </c>
      <c r="F37" s="11">
        <f>E37+F27+F49</f>
        <v/>
      </c>
    </row>
    <row r="38">
      <c r="A38" s="9" t="inlineStr">
        <is>
          <t>Total equity</t>
        </is>
      </c>
      <c r="C38" s="12">
        <f>C36+C37</f>
        <v/>
      </c>
      <c r="D38" s="12">
        <f>D36+D37</f>
        <v/>
      </c>
      <c r="E38" s="12">
        <f>E36+E37</f>
        <v/>
      </c>
      <c r="F38" s="12">
        <f>F36+F37</f>
        <v/>
      </c>
    </row>
    <row r="39">
      <c r="A39" s="9" t="inlineStr">
        <is>
          <t>Total liabilities &amp; equity</t>
        </is>
      </c>
      <c r="C39" s="13">
        <f>C35+C38</f>
        <v/>
      </c>
      <c r="D39" s="13">
        <f>D35+D38</f>
        <v/>
      </c>
      <c r="E39" s="13">
        <f>E35+E38</f>
        <v/>
      </c>
      <c r="F39" s="13">
        <f>F35+F38</f>
        <v/>
      </c>
    </row>
    <row r="40">
      <c r="A40" s="7" t="inlineStr">
        <is>
          <t>Balance check (must be −)</t>
        </is>
      </c>
      <c r="C40" s="14">
        <f>C33-C39</f>
        <v/>
      </c>
      <c r="D40" s="14">
        <f>D33-D39</f>
        <v/>
      </c>
      <c r="E40" s="14">
        <f>E33-E39</f>
        <v/>
      </c>
      <c r="F40" s="14">
        <f>F33-F39</f>
        <v/>
      </c>
    </row>
    <row r="42">
      <c r="A42" s="6" t="inlineStr">
        <is>
          <t>CASH FLOW STATEMENT</t>
        </is>
      </c>
      <c r="B42" s="6" t="n"/>
      <c r="C42" s="6" t="n"/>
      <c r="D42" s="6" t="n"/>
      <c r="E42" s="6" t="n"/>
      <c r="F42" s="6" t="n"/>
    </row>
    <row r="43">
      <c r="A43" s="7" t="inlineStr">
        <is>
          <t>Net income</t>
        </is>
      </c>
      <c r="C43" s="15" t="inlineStr">
        <is>
          <t>—</t>
        </is>
      </c>
      <c r="D43" s="11">
        <f>D27</f>
        <v/>
      </c>
      <c r="E43" s="11">
        <f>E27</f>
        <v/>
      </c>
      <c r="F43" s="11">
        <f>F27</f>
        <v/>
      </c>
    </row>
    <row r="44">
      <c r="A44" s="7" t="inlineStr">
        <is>
          <t>(+) D&amp;A</t>
        </is>
      </c>
      <c r="C44" s="15" t="inlineStr">
        <is>
          <t>—</t>
        </is>
      </c>
      <c r="D44" s="11">
        <f>-D22</f>
        <v/>
      </c>
      <c r="E44" s="11">
        <f>-E22</f>
        <v/>
      </c>
      <c r="F44" s="11">
        <f>-F22</f>
        <v/>
      </c>
    </row>
    <row r="45">
      <c r="A45" s="7" t="inlineStr">
        <is>
          <t>(−) Increase in NWC</t>
        </is>
      </c>
      <c r="C45" s="15" t="inlineStr">
        <is>
          <t>—</t>
        </is>
      </c>
      <c r="D45" s="11">
        <f>-(D31-C31)</f>
        <v/>
      </c>
      <c r="E45" s="11">
        <f>-(E31-D31)</f>
        <v/>
      </c>
      <c r="F45" s="11">
        <f>-(F31-E31)</f>
        <v/>
      </c>
    </row>
    <row r="46">
      <c r="A46" s="9" t="inlineStr">
        <is>
          <t>Cash from operations</t>
        </is>
      </c>
      <c r="C46" s="15" t="inlineStr">
        <is>
          <t>—</t>
        </is>
      </c>
      <c r="D46" s="13">
        <f>D43+D44+D45</f>
        <v/>
      </c>
      <c r="E46" s="13">
        <f>E43+E44+E45</f>
        <v/>
      </c>
      <c r="F46" s="13">
        <f>F43+F44+F45</f>
        <v/>
      </c>
    </row>
    <row r="47">
      <c r="A47" s="7" t="inlineStr">
        <is>
          <t>(−) Capex</t>
        </is>
      </c>
      <c r="C47" s="15" t="inlineStr">
        <is>
          <t>—</t>
        </is>
      </c>
      <c r="D47" s="11">
        <f>-D17*$C$11</f>
        <v/>
      </c>
      <c r="E47" s="11">
        <f>-E17*$C$11</f>
        <v/>
      </c>
      <c r="F47" s="11">
        <f>-F17*$C$11</f>
        <v/>
      </c>
    </row>
    <row r="48">
      <c r="A48" s="9" t="inlineStr">
        <is>
          <t>Cash from investing</t>
        </is>
      </c>
      <c r="C48" s="15" t="inlineStr">
        <is>
          <t>—</t>
        </is>
      </c>
      <c r="D48" s="12">
        <f>D47</f>
        <v/>
      </c>
      <c r="E48" s="12">
        <f>E47</f>
        <v/>
      </c>
      <c r="F48" s="12">
        <f>F47</f>
        <v/>
      </c>
    </row>
    <row r="49">
      <c r="A49" s="7" t="inlineStr">
        <is>
          <t>(−) Dividends</t>
        </is>
      </c>
      <c r="C49" s="15" t="inlineStr">
        <is>
          <t>—</t>
        </is>
      </c>
      <c r="D49" s="11">
        <f>-D27*$C$15</f>
        <v/>
      </c>
      <c r="E49" s="11">
        <f>-E27*$C$15</f>
        <v/>
      </c>
      <c r="F49" s="11">
        <f>-F27*$C$15</f>
        <v/>
      </c>
    </row>
    <row r="50">
      <c r="A50" s="9" t="inlineStr">
        <is>
          <t>Cash from financing</t>
        </is>
      </c>
      <c r="C50" s="15" t="inlineStr">
        <is>
          <t>—</t>
        </is>
      </c>
      <c r="D50" s="12">
        <f>D49</f>
        <v/>
      </c>
      <c r="E50" s="12">
        <f>E49</f>
        <v/>
      </c>
      <c r="F50" s="12">
        <f>F49</f>
        <v/>
      </c>
    </row>
    <row r="51">
      <c r="A51" s="9" t="inlineStr">
        <is>
          <t>Net change in cash</t>
        </is>
      </c>
      <c r="C51" s="15" t="inlineStr">
        <is>
          <t>—</t>
        </is>
      </c>
      <c r="D51" s="13">
        <f>D46+D48+D50</f>
        <v/>
      </c>
      <c r="E51" s="13">
        <f>E46+E48+E50</f>
        <v/>
      </c>
      <c r="F51" s="13">
        <f>F46+F48+F50</f>
        <v/>
      </c>
    </row>
    <row r="52">
      <c r="A52" s="7" t="inlineStr">
        <is>
          <t>Beginning cash</t>
        </is>
      </c>
      <c r="C52" s="15" t="inlineStr">
        <is>
          <t>—</t>
        </is>
      </c>
      <c r="D52" s="11">
        <f>C30</f>
        <v/>
      </c>
      <c r="E52" s="11">
        <f>D30</f>
        <v/>
      </c>
      <c r="F52" s="11">
        <f>E30</f>
        <v/>
      </c>
    </row>
    <row r="53">
      <c r="A53" s="9" t="inlineStr">
        <is>
          <t>Ending cash</t>
        </is>
      </c>
      <c r="C53" s="15" t="inlineStr">
        <is>
          <t>—</t>
        </is>
      </c>
      <c r="D53" s="12">
        <f>D52+D51</f>
        <v/>
      </c>
      <c r="E53" s="12">
        <f>E52+E51</f>
        <v/>
      </c>
      <c r="F53" s="12">
        <f>F52+F51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2026-07-07T17:23:20Z</dcterms:created>
  <dcterms:modified xmlns:dcterms="http://purl.org/dc/terms/" xmlns:xsi="http://www.w3.org/2001/XMLSchema-instance" xsi:type="dcterms:W3CDTF">2026-07-07T17:23:20Z</dcterms:modified>
</cp:coreProperties>
</file>