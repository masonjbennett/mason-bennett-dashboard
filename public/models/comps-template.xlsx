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&quot;-&quot;"/>
    <numFmt numFmtId="165" formatCode="0.0x"/>
  </numFmts>
  <fonts count="8">
    <font>
      <name val="Calibri"/>
      <family val="2"/>
      <color theme="1"/>
      <sz val="11"/>
      <scheme val="minor"/>
    </font>
    <font>
      <name val="Arial"/>
      <b val="1"/>
      <color rgb="001F3864"/>
      <sz val="15"/>
    </font>
    <font>
      <name val="Arial"/>
      <i val="1"/>
      <color rgb="007F7F7F"/>
      <sz val="9"/>
    </font>
    <font>
      <name val="Arial"/>
      <i val="1"/>
      <color rgb="000000FF"/>
      <sz val="9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b val="1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top style="thin">
        <color rgb="00808080"/>
      </top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5" fillId="0" borderId="0" applyAlignment="1" pivotButton="0" quotePrefix="0" xfId="0">
      <alignment horizontal="center" vertical="center"/>
    </xf>
    <xf numFmtId="4" fontId="6" fillId="0" borderId="0" pivotButton="0" quotePrefix="0" xfId="0"/>
    <xf numFmtId="164" fontId="6" fillId="0" borderId="0" pivotButton="0" quotePrefix="0" xfId="0"/>
    <xf numFmtId="164" fontId="5" fillId="0" borderId="0" pivotButton="0" quotePrefix="0" xfId="0"/>
    <xf numFmtId="165" fontId="5" fillId="0" borderId="0" pivotButton="0" quotePrefix="0" xfId="0"/>
    <xf numFmtId="0" fontId="7" fillId="3" borderId="0" pivotButton="0" quotePrefix="0" xfId="0"/>
    <xf numFmtId="0" fontId="0" fillId="3" borderId="0" pivotButton="0" quotePrefix="0" xfId="0"/>
    <xf numFmtId="165" fontId="7" fillId="3" borderId="0" pivotButton="0" quotePrefix="0" xfId="0"/>
    <xf numFmtId="0" fontId="4" fillId="2" borderId="0" pivotButton="0" quotePrefix="0" xfId="0"/>
    <xf numFmtId="0" fontId="7" fillId="0" borderId="0" pivotButton="0" quotePrefix="0" xfId="0"/>
    <xf numFmtId="4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1" t="inlineStr">
        <is>
          <t>Comparable Companies — Practice Template</t>
        </is>
      </c>
    </row>
    <row r="2">
      <c r="A2" s="2" t="inlineStr">
        <is>
          <t>Build enterprise value and trading multiples for a peer set, then apply the median to value a target.</t>
        </is>
      </c>
    </row>
    <row r="3">
      <c r="A3" s="3" t="inlineStr">
        <is>
          <t>Blue = your inputs (overwrite them).  Black = formulas.  Figures are illustrative.</t>
        </is>
      </c>
    </row>
    <row r="5" ht="30" customHeight="1">
      <c r="A5" s="4" t="inlineStr">
        <is>
          <t>Company</t>
        </is>
      </c>
      <c r="B5" s="4" t="inlineStr">
        <is>
          <t>Ticker</t>
        </is>
      </c>
      <c r="C5" s="4" t="inlineStr">
        <is>
          <t>Share
price</t>
        </is>
      </c>
      <c r="D5" s="4" t="inlineStr">
        <is>
          <t>Diluted
shares</t>
        </is>
      </c>
      <c r="E5" s="4" t="inlineStr">
        <is>
          <t>Equity
value</t>
        </is>
      </c>
      <c r="F5" s="4" t="inlineStr">
        <is>
          <t>(+) Debt</t>
        </is>
      </c>
      <c r="G5" s="4" t="inlineStr">
        <is>
          <t>(−) Cash</t>
        </is>
      </c>
      <c r="H5" s="4" t="inlineStr">
        <is>
          <t>Enterprise
value</t>
        </is>
      </c>
      <c r="I5" s="4" t="inlineStr">
        <is>
          <t>Revenue</t>
        </is>
      </c>
      <c r="J5" s="4" t="inlineStr">
        <is>
          <t>EBITDA</t>
        </is>
      </c>
      <c r="K5" s="4" t="inlineStr">
        <is>
          <t>Net
income</t>
        </is>
      </c>
      <c r="L5" s="4" t="inlineStr">
        <is>
          <t>EV /
Revenue</t>
        </is>
      </c>
      <c r="M5" s="4" t="inlineStr">
        <is>
          <t>EV /
EBITDA</t>
        </is>
      </c>
      <c r="N5" s="4" t="inlineStr">
        <is>
          <t>P / E</t>
        </is>
      </c>
    </row>
    <row r="6">
      <c r="A6" s="5" t="inlineStr">
        <is>
          <t>Peer One</t>
        </is>
      </c>
      <c r="B6" s="6" t="inlineStr">
        <is>
          <t>PR1</t>
        </is>
      </c>
      <c r="C6" s="7" t="n">
        <v>45</v>
      </c>
      <c r="D6" s="8" t="n">
        <v>20</v>
      </c>
      <c r="E6" s="9">
        <f>C6*D6</f>
        <v/>
      </c>
      <c r="F6" s="8" t="n">
        <v>250</v>
      </c>
      <c r="G6" s="8" t="n">
        <v>60</v>
      </c>
      <c r="H6" s="9">
        <f>E6+F6-G6</f>
        <v/>
      </c>
      <c r="I6" s="8" t="n">
        <v>520</v>
      </c>
      <c r="J6" s="8" t="n">
        <v>120</v>
      </c>
      <c r="K6" s="8" t="n">
        <v>62</v>
      </c>
      <c r="L6" s="10">
        <f>H6/I6</f>
        <v/>
      </c>
      <c r="M6" s="10">
        <f>H6/J6</f>
        <v/>
      </c>
      <c r="N6" s="10">
        <f>E6/K6</f>
        <v/>
      </c>
    </row>
    <row r="7">
      <c r="A7" s="5" t="inlineStr">
        <is>
          <t>Peer Two</t>
        </is>
      </c>
      <c r="B7" s="6" t="inlineStr">
        <is>
          <t>PR2</t>
        </is>
      </c>
      <c r="C7" s="7" t="n">
        <v>58</v>
      </c>
      <c r="D7" s="8" t="n">
        <v>16</v>
      </c>
      <c r="E7" s="9">
        <f>C7*D7</f>
        <v/>
      </c>
      <c r="F7" s="8" t="n">
        <v>320</v>
      </c>
      <c r="G7" s="8" t="n">
        <v>80</v>
      </c>
      <c r="H7" s="9">
        <f>E7+F7-G7</f>
        <v/>
      </c>
      <c r="I7" s="8" t="n">
        <v>610</v>
      </c>
      <c r="J7" s="8" t="n">
        <v>140</v>
      </c>
      <c r="K7" s="8" t="n">
        <v>70</v>
      </c>
      <c r="L7" s="10">
        <f>H7/I7</f>
        <v/>
      </c>
      <c r="M7" s="10">
        <f>H7/J7</f>
        <v/>
      </c>
      <c r="N7" s="10">
        <f>E7/K7</f>
        <v/>
      </c>
    </row>
    <row r="8">
      <c r="A8" s="5" t="inlineStr">
        <is>
          <t>Peer Three</t>
        </is>
      </c>
      <c r="B8" s="6" t="inlineStr">
        <is>
          <t>PR3</t>
        </is>
      </c>
      <c r="C8" s="7" t="n">
        <v>72</v>
      </c>
      <c r="D8" s="8" t="n">
        <v>22</v>
      </c>
      <c r="E8" s="9">
        <f>C8*D8</f>
        <v/>
      </c>
      <c r="F8" s="8" t="n">
        <v>500</v>
      </c>
      <c r="G8" s="8" t="n">
        <v>120</v>
      </c>
      <c r="H8" s="9">
        <f>E8+F8-G8</f>
        <v/>
      </c>
      <c r="I8" s="8" t="n">
        <v>900</v>
      </c>
      <c r="J8" s="8" t="n">
        <v>225</v>
      </c>
      <c r="K8" s="8" t="n">
        <v>110</v>
      </c>
      <c r="L8" s="10">
        <f>H8/I8</f>
        <v/>
      </c>
      <c r="M8" s="10">
        <f>H8/J8</f>
        <v/>
      </c>
      <c r="N8" s="10">
        <f>E8/K8</f>
        <v/>
      </c>
    </row>
    <row r="9">
      <c r="A9" s="5" t="inlineStr">
        <is>
          <t>Peer Four</t>
        </is>
      </c>
      <c r="B9" s="6" t="inlineStr">
        <is>
          <t>PR4</t>
        </is>
      </c>
      <c r="C9" s="7" t="n">
        <v>33</v>
      </c>
      <c r="D9" s="8" t="n">
        <v>30</v>
      </c>
      <c r="E9" s="9">
        <f>C9*D9</f>
        <v/>
      </c>
      <c r="F9" s="8" t="n">
        <v>180</v>
      </c>
      <c r="G9" s="8" t="n">
        <v>40</v>
      </c>
      <c r="H9" s="9">
        <f>E9+F9-G9</f>
        <v/>
      </c>
      <c r="I9" s="8" t="n">
        <v>480</v>
      </c>
      <c r="J9" s="8" t="n">
        <v>105</v>
      </c>
      <c r="K9" s="8" t="n">
        <v>55</v>
      </c>
      <c r="L9" s="10">
        <f>H9/I9</f>
        <v/>
      </c>
      <c r="M9" s="10">
        <f>H9/J9</f>
        <v/>
      </c>
      <c r="N9" s="10">
        <f>E9/K9</f>
        <v/>
      </c>
    </row>
    <row r="10">
      <c r="A10" s="5" t="inlineStr">
        <is>
          <t>Peer Five</t>
        </is>
      </c>
      <c r="B10" s="6" t="inlineStr">
        <is>
          <t>PR5</t>
        </is>
      </c>
      <c r="C10" s="7" t="n">
        <v>91</v>
      </c>
      <c r="D10" s="8" t="n">
        <v>12</v>
      </c>
      <c r="E10" s="9">
        <f>C10*D10</f>
        <v/>
      </c>
      <c r="F10" s="8" t="n">
        <v>260</v>
      </c>
      <c r="G10" s="8" t="n">
        <v>150</v>
      </c>
      <c r="H10" s="9">
        <f>E10+F10-G10</f>
        <v/>
      </c>
      <c r="I10" s="8" t="n">
        <v>560</v>
      </c>
      <c r="J10" s="8" t="n">
        <v>150</v>
      </c>
      <c r="K10" s="8" t="n">
        <v>74</v>
      </c>
      <c r="L10" s="10">
        <f>H10/I10</f>
        <v/>
      </c>
      <c r="M10" s="10">
        <f>H10/J10</f>
        <v/>
      </c>
      <c r="N10" s="10">
        <f>E10/K10</f>
        <v/>
      </c>
    </row>
    <row r="11">
      <c r="A11" s="5" t="inlineStr">
        <is>
          <t>Peer Six</t>
        </is>
      </c>
      <c r="B11" s="6" t="inlineStr">
        <is>
          <t>PR6</t>
        </is>
      </c>
      <c r="C11" s="7" t="n">
        <v>48.5</v>
      </c>
      <c r="D11" s="8" t="n">
        <v>25</v>
      </c>
      <c r="E11" s="9">
        <f>C11*D11</f>
        <v/>
      </c>
      <c r="F11" s="8" t="n">
        <v>300</v>
      </c>
      <c r="G11" s="8" t="n">
        <v>70</v>
      </c>
      <c r="H11" s="9">
        <f>E11+F11-G11</f>
        <v/>
      </c>
      <c r="I11" s="8" t="n">
        <v>700</v>
      </c>
      <c r="J11" s="8" t="n">
        <v>168</v>
      </c>
      <c r="K11" s="8" t="n">
        <v>82</v>
      </c>
      <c r="L11" s="10">
        <f>H11/I11</f>
        <v/>
      </c>
      <c r="M11" s="10">
        <f>H11/J11</f>
        <v/>
      </c>
      <c r="N11" s="10">
        <f>E11/K11</f>
        <v/>
      </c>
    </row>
    <row r="12">
      <c r="A12" s="5" t="inlineStr">
        <is>
          <t>Peer Seven</t>
        </is>
      </c>
      <c r="B12" s="6" t="inlineStr">
        <is>
          <t>PR7</t>
        </is>
      </c>
      <c r="C12" s="7" t="n">
        <v>65</v>
      </c>
      <c r="D12" s="8" t="n">
        <v>18</v>
      </c>
      <c r="E12" s="9">
        <f>C12*D12</f>
        <v/>
      </c>
      <c r="F12" s="8" t="n">
        <v>420</v>
      </c>
      <c r="G12" s="8" t="n">
        <v>110</v>
      </c>
      <c r="H12" s="9">
        <f>E12+F12-G12</f>
        <v/>
      </c>
      <c r="I12" s="8" t="n">
        <v>640</v>
      </c>
      <c r="J12" s="8" t="n">
        <v>160</v>
      </c>
      <c r="K12" s="8" t="n">
        <v>76</v>
      </c>
      <c r="L12" s="10">
        <f>H12/I12</f>
        <v/>
      </c>
      <c r="M12" s="10">
        <f>H12/J12</f>
        <v/>
      </c>
      <c r="N12" s="10">
        <f>E12/K12</f>
        <v/>
      </c>
    </row>
    <row r="13">
      <c r="A13" s="5" t="inlineStr">
        <is>
          <t>Peer Eight</t>
        </is>
      </c>
      <c r="B13" s="6" t="inlineStr">
        <is>
          <t>PR8</t>
        </is>
      </c>
      <c r="C13" s="7" t="n">
        <v>39</v>
      </c>
      <c r="D13" s="8" t="n">
        <v>28</v>
      </c>
      <c r="E13" s="9">
        <f>C13*D13</f>
        <v/>
      </c>
      <c r="F13" s="8" t="n">
        <v>210</v>
      </c>
      <c r="G13" s="8" t="n">
        <v>55</v>
      </c>
      <c r="H13" s="9">
        <f>E13+F13-G13</f>
        <v/>
      </c>
      <c r="I13" s="8" t="n">
        <v>590</v>
      </c>
      <c r="J13" s="8" t="n">
        <v>130</v>
      </c>
      <c r="K13" s="8" t="n">
        <v>60</v>
      </c>
      <c r="L13" s="10">
        <f>H13/I13</f>
        <v/>
      </c>
      <c r="M13" s="10">
        <f>H13/J13</f>
        <v/>
      </c>
      <c r="N13" s="10">
        <f>E13/K13</f>
        <v/>
      </c>
    </row>
    <row r="14">
      <c r="A14" s="11" t="inlineStr">
        <is>
          <t>Minimum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3">
        <f>MIN(L6:L13)</f>
        <v/>
      </c>
      <c r="M14" s="13">
        <f>MIN(M6:M13)</f>
        <v/>
      </c>
      <c r="N14" s="13">
        <f>MIN(N6:N13)</f>
        <v/>
      </c>
    </row>
    <row r="15">
      <c r="A15" s="11" t="inlineStr">
        <is>
          <t>Median</t>
        </is>
      </c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3">
        <f>MEDIAN(L6:L13)</f>
        <v/>
      </c>
      <c r="M15" s="13">
        <f>MEDIAN(M6:M13)</f>
        <v/>
      </c>
      <c r="N15" s="13">
        <f>MEDIAN(N6:N13)</f>
        <v/>
      </c>
    </row>
    <row r="16">
      <c r="A16" s="11" t="inlineStr">
        <is>
          <t>Mean</t>
        </is>
      </c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3">
        <f>AVERAGE(L6:L13)</f>
        <v/>
      </c>
      <c r="M16" s="13">
        <f>AVERAGE(M6:M13)</f>
        <v/>
      </c>
      <c r="N16" s="13">
        <f>AVERAGE(N6:N13)</f>
        <v/>
      </c>
    </row>
    <row r="17">
      <c r="A17" s="11" t="inlineStr">
        <is>
          <t>Maximum</t>
        </is>
      </c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3">
        <f>MAX(L6:L13)</f>
        <v/>
      </c>
      <c r="M17" s="13">
        <f>MAX(M6:M13)</f>
        <v/>
      </c>
      <c r="N17" s="13">
        <f>MAX(N6:N13)</f>
        <v/>
      </c>
    </row>
    <row r="19">
      <c r="A19" s="14" t="inlineStr">
        <is>
          <t>IMPLIED VALUATION — TARGET</t>
        </is>
      </c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</row>
    <row r="20">
      <c r="A20" s="5" t="inlineStr">
        <is>
          <t>Target revenue ($mm)</t>
        </is>
      </c>
      <c r="C20" s="8" t="n">
        <v>300</v>
      </c>
    </row>
    <row r="21">
      <c r="A21" s="5" t="inlineStr">
        <is>
          <t>Target EBITDA ($mm)</t>
        </is>
      </c>
      <c r="C21" s="8" t="n">
        <v>60</v>
      </c>
    </row>
    <row r="22">
      <c r="A22" s="5" t="inlineStr">
        <is>
          <t>Target net income ($mm)</t>
        </is>
      </c>
      <c r="C22" s="8" t="n">
        <v>32</v>
      </c>
    </row>
    <row r="23">
      <c r="A23" s="5" t="inlineStr">
        <is>
          <t>Target net debt ($mm)</t>
        </is>
      </c>
      <c r="C23" s="8" t="n">
        <v>90</v>
      </c>
    </row>
    <row r="24">
      <c r="A24" s="5" t="inlineStr">
        <is>
          <t>Target diluted shares (mm)</t>
        </is>
      </c>
      <c r="C24" s="8" t="n">
        <v>50</v>
      </c>
    </row>
    <row r="25">
      <c r="A25" s="5" t="inlineStr">
        <is>
          <t>Implied EV (median EV/EBITDA)</t>
        </is>
      </c>
      <c r="C25" s="9">
        <f>M15*$C$21</f>
        <v/>
      </c>
    </row>
    <row r="26">
      <c r="A26" s="5" t="inlineStr">
        <is>
          <t>Implied equity value</t>
        </is>
      </c>
      <c r="C26" s="9">
        <f>$C$25-$C$23</f>
        <v/>
      </c>
    </row>
    <row r="27">
      <c r="A27" s="15" t="inlineStr">
        <is>
          <t>Implied share price ($)</t>
        </is>
      </c>
      <c r="C27" s="16">
        <f>$C$26/$C$24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2026-07-07T17:23:20Z</dcterms:created>
  <dcterms:modified xmlns:dcterms="http://purl.org/dc/terms/" xmlns:xsi="http://www.w3.org/2001/XMLSchema-instance" xsi:type="dcterms:W3CDTF">2026-07-07T17:23:20Z</dcterms:modified>
</cp:coreProperties>
</file>