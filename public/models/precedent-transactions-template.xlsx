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dent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x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7F7F7F"/>
      <sz val="9"/>
    </font>
    <font>
      <name val="Arial"/>
      <i val="1"/>
      <color rgb="000000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7F7F7F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165" fontId="7" fillId="3" borderId="0" pivotButton="0" quotePrefix="0" xfId="0"/>
    <xf numFmtId="166" fontId="7" fillId="3" borderId="0" pivotButton="0" quotePrefix="0" xfId="0"/>
    <xf numFmtId="0" fontId="4" fillId="2" borderId="0" pivotButton="0" quotePrefix="0" xfId="0"/>
    <xf numFmtId="164" fontId="5" fillId="0" borderId="0" pivotButton="0" quotePrefix="0" xfId="0"/>
    <xf numFmtId="0" fontId="7" fillId="0" borderId="0" pivotButton="0" quotePrefix="0" xfId="0"/>
    <xf numFmtId="4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Precedent Transactions — Practice Template</t>
        </is>
      </c>
    </row>
    <row r="2">
      <c r="A2" s="2" t="inlineStr">
        <is>
          <t>Acquisition multiples paid in past M&amp;A deals, applied to value a target at a control premium.</t>
        </is>
      </c>
    </row>
    <row r="3">
      <c r="A3" s="3" t="inlineStr">
        <is>
          <t>Blue = your inputs (overwrite them).  Black = formulas.  Figures are illustrative.</t>
        </is>
      </c>
    </row>
    <row r="5" ht="30" customHeight="1">
      <c r="A5" s="4" t="inlineStr">
        <is>
          <t>Announced</t>
        </is>
      </c>
      <c r="B5" s="4" t="inlineStr">
        <is>
          <t>Acquirer</t>
        </is>
      </c>
      <c r="C5" s="4" t="inlineStr">
        <is>
          <t>Target</t>
        </is>
      </c>
      <c r="D5" s="4" t="inlineStr">
        <is>
          <t>Transaction
EV</t>
        </is>
      </c>
      <c r="E5" s="4" t="inlineStr">
        <is>
          <t>Target
revenue (LTM)</t>
        </is>
      </c>
      <c r="F5" s="4" t="inlineStr">
        <is>
          <t>Target
EBITDA (LTM)</t>
        </is>
      </c>
      <c r="G5" s="4" t="inlineStr">
        <is>
          <t>EV /
Revenue</t>
        </is>
      </c>
      <c r="H5" s="4" t="inlineStr">
        <is>
          <t>EV /
EBITDA</t>
        </is>
      </c>
      <c r="I5" s="4" t="inlineStr">
        <is>
          <t>Premium
paid</t>
        </is>
      </c>
    </row>
    <row r="6">
      <c r="A6" s="5" t="inlineStr">
        <is>
          <t>Mar 2024</t>
        </is>
      </c>
      <c r="B6" s="6" t="inlineStr">
        <is>
          <t>Buyer Alpha</t>
        </is>
      </c>
      <c r="C6" s="6" t="inlineStr">
        <is>
          <t>Target One</t>
        </is>
      </c>
      <c r="D6" s="7" t="n">
        <v>1400</v>
      </c>
      <c r="E6" s="7" t="n">
        <v>520</v>
      </c>
      <c r="F6" s="7" t="n">
        <v>118</v>
      </c>
      <c r="G6" s="8">
        <f>D6/E6</f>
        <v/>
      </c>
      <c r="H6" s="8">
        <f>D6/F6</f>
        <v/>
      </c>
      <c r="I6" s="9" t="n">
        <v>0.32</v>
      </c>
    </row>
    <row r="7">
      <c r="A7" s="5" t="inlineStr">
        <is>
          <t>Nov 2023</t>
        </is>
      </c>
      <c r="B7" s="6" t="inlineStr">
        <is>
          <t>Buyer Beta</t>
        </is>
      </c>
      <c r="C7" s="6" t="inlineStr">
        <is>
          <t>Target Two</t>
        </is>
      </c>
      <c r="D7" s="7" t="n">
        <v>2100</v>
      </c>
      <c r="E7" s="7" t="n">
        <v>700</v>
      </c>
      <c r="F7" s="7" t="n">
        <v>175</v>
      </c>
      <c r="G7" s="8">
        <f>D7/E7</f>
        <v/>
      </c>
      <c r="H7" s="8">
        <f>D7/F7</f>
        <v/>
      </c>
      <c r="I7" s="9" t="n">
        <v>0.28</v>
      </c>
    </row>
    <row r="8">
      <c r="A8" s="5" t="inlineStr">
        <is>
          <t>Jul 2023</t>
        </is>
      </c>
      <c r="B8" s="6" t="inlineStr">
        <is>
          <t>Sponsor Gamma</t>
        </is>
      </c>
      <c r="C8" s="6" t="inlineStr">
        <is>
          <t>Target Three</t>
        </is>
      </c>
      <c r="D8" s="7" t="n">
        <v>980</v>
      </c>
      <c r="E8" s="7" t="n">
        <v>410</v>
      </c>
      <c r="F8" s="7" t="n">
        <v>82</v>
      </c>
      <c r="G8" s="8">
        <f>D8/E8</f>
        <v/>
      </c>
      <c r="H8" s="8">
        <f>D8/F8</f>
        <v/>
      </c>
      <c r="I8" s="9" t="n">
        <v>0.38</v>
      </c>
    </row>
    <row r="9">
      <c r="A9" s="5" t="inlineStr">
        <is>
          <t>Feb 2023</t>
        </is>
      </c>
      <c r="B9" s="6" t="inlineStr">
        <is>
          <t>Buyer Delta</t>
        </is>
      </c>
      <c r="C9" s="6" t="inlineStr">
        <is>
          <t>Target Four</t>
        </is>
      </c>
      <c r="D9" s="7" t="n">
        <v>3200</v>
      </c>
      <c r="E9" s="7" t="n">
        <v>1050</v>
      </c>
      <c r="F9" s="7" t="n">
        <v>240</v>
      </c>
      <c r="G9" s="8">
        <f>D9/E9</f>
        <v/>
      </c>
      <c r="H9" s="8">
        <f>D9/F9</f>
        <v/>
      </c>
      <c r="I9" s="9" t="n">
        <v>0.25</v>
      </c>
    </row>
    <row r="10">
      <c r="A10" s="5" t="inlineStr">
        <is>
          <t>Sep 2022</t>
        </is>
      </c>
      <c r="B10" s="6" t="inlineStr">
        <is>
          <t>Buyer Epsilon</t>
        </is>
      </c>
      <c r="C10" s="6" t="inlineStr">
        <is>
          <t>Target Five</t>
        </is>
      </c>
      <c r="D10" s="7" t="n">
        <v>760</v>
      </c>
      <c r="E10" s="7" t="n">
        <v>300</v>
      </c>
      <c r="F10" s="7" t="n">
        <v>66</v>
      </c>
      <c r="G10" s="8">
        <f>D10/E10</f>
        <v/>
      </c>
      <c r="H10" s="8">
        <f>D10/F10</f>
        <v/>
      </c>
      <c r="I10" s="9" t="n">
        <v>0.41</v>
      </c>
    </row>
    <row r="11">
      <c r="A11" s="5" t="inlineStr">
        <is>
          <t>May 2022</t>
        </is>
      </c>
      <c r="B11" s="6" t="inlineStr">
        <is>
          <t>Sponsor Zeta</t>
        </is>
      </c>
      <c r="C11" s="6" t="inlineStr">
        <is>
          <t>Target Six</t>
        </is>
      </c>
      <c r="D11" s="7" t="n">
        <v>1850</v>
      </c>
      <c r="E11" s="7" t="n">
        <v>640</v>
      </c>
      <c r="F11" s="7" t="n">
        <v>150</v>
      </c>
      <c r="G11" s="8">
        <f>D11/E11</f>
        <v/>
      </c>
      <c r="H11" s="8">
        <f>D11/F11</f>
        <v/>
      </c>
      <c r="I11" s="9" t="n">
        <v>0.3</v>
      </c>
    </row>
    <row r="12">
      <c r="A12" s="5" t="inlineStr">
        <is>
          <t>Jan 2022</t>
        </is>
      </c>
      <c r="B12" s="6" t="inlineStr">
        <is>
          <t>Buyer Eta</t>
        </is>
      </c>
      <c r="C12" s="6" t="inlineStr">
        <is>
          <t>Target Seven</t>
        </is>
      </c>
      <c r="D12" s="7" t="n">
        <v>1250</v>
      </c>
      <c r="E12" s="7" t="n">
        <v>480</v>
      </c>
      <c r="F12" s="7" t="n">
        <v>104</v>
      </c>
      <c r="G12" s="8">
        <f>D12/E12</f>
        <v/>
      </c>
      <c r="H12" s="8">
        <f>D12/F12</f>
        <v/>
      </c>
      <c r="I12" s="9" t="n">
        <v>0.35</v>
      </c>
    </row>
    <row r="13">
      <c r="A13" s="5" t="inlineStr">
        <is>
          <t>Oct 2021</t>
        </is>
      </c>
      <c r="B13" s="6" t="inlineStr">
        <is>
          <t>Buyer Theta</t>
        </is>
      </c>
      <c r="C13" s="6" t="inlineStr">
        <is>
          <t>Target Eight</t>
        </is>
      </c>
      <c r="D13" s="7" t="n">
        <v>2450</v>
      </c>
      <c r="E13" s="7" t="n">
        <v>820</v>
      </c>
      <c r="F13" s="7" t="n">
        <v>205</v>
      </c>
      <c r="G13" s="8">
        <f>D13/E13</f>
        <v/>
      </c>
      <c r="H13" s="8">
        <f>D13/F13</f>
        <v/>
      </c>
      <c r="I13" s="9" t="n">
        <v>0.27</v>
      </c>
    </row>
    <row r="14">
      <c r="A14" s="10" t="inlineStr">
        <is>
          <t>Minimum</t>
        </is>
      </c>
      <c r="B14" s="11" t="n"/>
      <c r="C14" s="11" t="n"/>
      <c r="D14" s="11" t="n"/>
      <c r="E14" s="11" t="n"/>
      <c r="F14" s="11" t="n"/>
      <c r="G14" s="12">
        <f>MIN(G6:G13)</f>
        <v/>
      </c>
      <c r="H14" s="12">
        <f>MIN(H6:H13)</f>
        <v/>
      </c>
      <c r="I14" s="13">
        <f>MIN(I6:I13)</f>
        <v/>
      </c>
    </row>
    <row r="15">
      <c r="A15" s="10" t="inlineStr">
        <is>
          <t>Median</t>
        </is>
      </c>
      <c r="B15" s="11" t="n"/>
      <c r="C15" s="11" t="n"/>
      <c r="D15" s="11" t="n"/>
      <c r="E15" s="11" t="n"/>
      <c r="F15" s="11" t="n"/>
      <c r="G15" s="12">
        <f>MEDIAN(G6:G13)</f>
        <v/>
      </c>
      <c r="H15" s="12">
        <f>MEDIAN(H6:H13)</f>
        <v/>
      </c>
      <c r="I15" s="13">
        <f>MEDIAN(I6:I13)</f>
        <v/>
      </c>
    </row>
    <row r="16">
      <c r="A16" s="10" t="inlineStr">
        <is>
          <t>Mean</t>
        </is>
      </c>
      <c r="B16" s="11" t="n"/>
      <c r="C16" s="11" t="n"/>
      <c r="D16" s="11" t="n"/>
      <c r="E16" s="11" t="n"/>
      <c r="F16" s="11" t="n"/>
      <c r="G16" s="12">
        <f>AVERAGE(G6:G13)</f>
        <v/>
      </c>
      <c r="H16" s="12">
        <f>AVERAGE(H6:H13)</f>
        <v/>
      </c>
      <c r="I16" s="13">
        <f>AVERAGE(I6:I13)</f>
        <v/>
      </c>
    </row>
    <row r="17">
      <c r="A17" s="10" t="inlineStr">
        <is>
          <t>Maximum</t>
        </is>
      </c>
      <c r="B17" s="11" t="n"/>
      <c r="C17" s="11" t="n"/>
      <c r="D17" s="11" t="n"/>
      <c r="E17" s="11" t="n"/>
      <c r="F17" s="11" t="n"/>
      <c r="G17" s="12">
        <f>MAX(G6:G13)</f>
        <v/>
      </c>
      <c r="H17" s="12">
        <f>MAX(H6:H13)</f>
        <v/>
      </c>
      <c r="I17" s="13">
        <f>MAX(I6:I13)</f>
        <v/>
      </c>
    </row>
    <row r="19">
      <c r="A19" s="14" t="inlineStr">
        <is>
          <t>IMPLIED VALUATION — TARGET (CONTROL BASIS)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6" t="inlineStr">
        <is>
          <t>Target EBITDA ($mm)</t>
        </is>
      </c>
      <c r="D20" s="7" t="n">
        <v>60</v>
      </c>
    </row>
    <row r="21">
      <c r="A21" s="6" t="inlineStr">
        <is>
          <t>Target revenue ($mm)</t>
        </is>
      </c>
      <c r="D21" s="7" t="n">
        <v>300</v>
      </c>
    </row>
    <row r="22">
      <c r="A22" s="6" t="inlineStr">
        <is>
          <t>Target net debt ($mm)</t>
        </is>
      </c>
      <c r="D22" s="7" t="n">
        <v>90</v>
      </c>
    </row>
    <row r="23">
      <c r="A23" s="6" t="inlineStr">
        <is>
          <t>Target diluted shares (mm)</t>
        </is>
      </c>
      <c r="D23" s="7" t="n">
        <v>50</v>
      </c>
    </row>
    <row r="24">
      <c r="A24" s="6" t="inlineStr">
        <is>
          <t>Implied EV (median EV/EBITDA)</t>
        </is>
      </c>
      <c r="D24" s="15">
        <f>H15*$D$20</f>
        <v/>
      </c>
    </row>
    <row r="25">
      <c r="A25" s="6" t="inlineStr">
        <is>
          <t>Implied equity value</t>
        </is>
      </c>
      <c r="D25" s="15">
        <f>$D$24-$D$22</f>
        <v/>
      </c>
    </row>
    <row r="26">
      <c r="A26" s="16" t="inlineStr">
        <is>
          <t>Implied share price ($)</t>
        </is>
      </c>
      <c r="D26" s="17">
        <f>$D$25/$D$23</f>
        <v/>
      </c>
    </row>
    <row r="27">
      <c r="A27" s="18" t="inlineStr">
        <is>
          <t>Note: transaction multiples embed a control premium — they typically imply a higher value than trading comps.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2026-07-07T17:37:25Z</dcterms:created>
  <dcterms:modified xmlns:dcterms="http://purl.org/dc/terms/" xmlns:xsi="http://www.w3.org/2001/XMLSchema-instance" xsi:type="dcterms:W3CDTF">2026-07-07T17:37:25Z</dcterms:modified>
</cp:coreProperties>
</file>